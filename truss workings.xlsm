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weksc\Desktop\"/>
    </mc:Choice>
  </mc:AlternateContent>
  <bookViews>
    <workbookView xWindow="0" yWindow="0" windowWidth="28800" windowHeight="12585"/>
  </bookViews>
  <sheets>
    <sheet name="Sheet1" sheetId="1" r:id="rId1"/>
  </sheets>
  <calcPr calcId="152511" iterate="1" iterateCount="100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1" l="1"/>
  <c r="C13" i="1"/>
  <c r="C35" i="1"/>
  <c r="C37" i="1"/>
  <c r="C39" i="1"/>
  <c r="C45" i="1"/>
  <c r="C43" i="1"/>
  <c r="C33" i="1"/>
  <c r="C31" i="1"/>
  <c r="C29" i="1"/>
  <c r="C21" i="1"/>
  <c r="C19" i="1"/>
  <c r="C17" i="1"/>
  <c r="C15" i="1"/>
  <c r="C9" i="1"/>
  <c r="C11" i="1"/>
  <c r="C23" i="1"/>
  <c r="C25" i="1"/>
</calcChain>
</file>

<file path=xl/sharedStrings.xml><?xml version="1.0" encoding="utf-8"?>
<sst xmlns="http://schemas.openxmlformats.org/spreadsheetml/2006/main" count="31" uniqueCount="28">
  <si>
    <t>User Input</t>
  </si>
  <si>
    <t>Span</t>
  </si>
  <si>
    <t>Height</t>
  </si>
  <si>
    <t>Table 1 - Coodinates of joints</t>
  </si>
  <si>
    <t>Joints</t>
  </si>
  <si>
    <t>X</t>
  </si>
  <si>
    <t>Y</t>
  </si>
  <si>
    <t>Number of bottom members</t>
  </si>
  <si>
    <t>Table 2- Connectivity Matrix</t>
  </si>
  <si>
    <t>Bars</t>
  </si>
  <si>
    <t>Start</t>
  </si>
  <si>
    <t>End</t>
  </si>
  <si>
    <t>dx</t>
  </si>
  <si>
    <t>dy</t>
  </si>
  <si>
    <t>L</t>
  </si>
  <si>
    <t>cos</t>
  </si>
  <si>
    <t>sin</t>
  </si>
  <si>
    <t>Roof width</t>
  </si>
  <si>
    <t xml:space="preserve">Joints </t>
  </si>
  <si>
    <t>Table3- for plooting graph</t>
  </si>
  <si>
    <t>JOINT</t>
  </si>
  <si>
    <t>BAR</t>
  </si>
  <si>
    <t>R1</t>
  </si>
  <si>
    <t>R2</t>
  </si>
  <si>
    <t>R3</t>
  </si>
  <si>
    <t>Table 4</t>
  </si>
  <si>
    <t>Table 5</t>
  </si>
  <si>
    <t>External Forces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</si>
</sst>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0" xfId="0" applyFill="1" applyBorder="1"/>
    <xf numFmtId="0" fontId="0" fillId="2" borderId="0" xfId="0" applyFill="1"/>
    <xf numFmtId="0" fontId="0" fillId="2" borderId="2" xfId="0" applyFill="1" applyBorder="1"/>
    <xf numFmtId="0" fontId="0" fillId="0" borderId="0" xfId="0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315"/>
  <sheetViews>
    <sheetView tabSelected="1" topLeftCell="A22" zoomScale="85" zoomScaleNormal="85" workbookViewId="0">
      <selection activeCell="B47" sqref="B47"/>
    </sheetView>
  </sheetViews>
  <sheetFormatPr defaultRowHeight="15" x14ac:dyDescent="0.25"/>
  <cols>
    <col min="1" max="1" width="27.42578125" customWidth="1"/>
  </cols>
  <sheetData>
    <row r="1" spans="1:102" x14ac:dyDescent="0.25">
      <c r="A1" t="s">
        <v>0</v>
      </c>
    </row>
    <row r="2" spans="1:102" x14ac:dyDescent="0.25">
      <c r="A2" t="s">
        <v>1</v>
      </c>
      <c r="B2">
        <v>115</v>
      </c>
    </row>
    <row r="3" spans="1:102" x14ac:dyDescent="0.25">
      <c r="A3" t="s">
        <v>2</v>
      </c>
      <c r="B3">
        <v>6</v>
      </c>
    </row>
    <row r="4" spans="1:102" x14ac:dyDescent="0.25">
      <c r="A4" t="s">
        <v>7</v>
      </c>
      <c r="B4">
        <v>20</v>
      </c>
    </row>
    <row r="5" spans="1:102" x14ac:dyDescent="0.25">
      <c r="A5" t="s">
        <v>17</v>
      </c>
      <c r="B5">
        <v>2</v>
      </c>
    </row>
    <row r="6" spans="1:102" x14ac:dyDescent="0.25">
      <c r="A6" t="s">
        <v>3</v>
      </c>
      <c r="E6" t="s">
        <v>8</v>
      </c>
      <c r="O6" t="s">
        <v>19</v>
      </c>
      <c r="S6" t="s">
        <v>25</v>
      </c>
      <c r="T6" t="s">
        <v>21</v>
      </c>
      <c r="CW6" t="s">
        <v>26</v>
      </c>
      <c r="CX6" t="s">
        <v>27</v>
      </c>
    </row>
    <row r="7" spans="1:102" x14ac:dyDescent="0.25">
      <c r="A7" s="1" t="s">
        <v>4</v>
      </c>
      <c r="B7" s="1" t="s">
        <v>5</v>
      </c>
      <c r="C7" s="1" t="s">
        <v>6</v>
      </c>
      <c r="E7" s="1" t="s">
        <v>4</v>
      </c>
      <c r="F7" s="1" t="s">
        <v>9</v>
      </c>
      <c r="G7" s="1" t="s">
        <v>10</v>
      </c>
      <c r="H7" s="1" t="s">
        <v>11</v>
      </c>
      <c r="I7" s="1" t="s">
        <v>12</v>
      </c>
      <c r="J7" s="1" t="s">
        <v>13</v>
      </c>
      <c r="K7" s="1" t="s">
        <v>14</v>
      </c>
      <c r="L7" s="1" t="s">
        <v>15</v>
      </c>
      <c r="M7" s="1" t="s">
        <v>16</v>
      </c>
      <c r="N7" s="6"/>
      <c r="O7" s="1" t="s">
        <v>18</v>
      </c>
      <c r="P7" s="1" t="s">
        <v>5</v>
      </c>
      <c r="Q7" s="1" t="s">
        <v>6</v>
      </c>
      <c r="T7" s="3">
        <v>1</v>
      </c>
      <c r="U7" s="4">
        <v>2</v>
      </c>
      <c r="V7" s="4">
        <v>3</v>
      </c>
      <c r="W7" s="4">
        <v>4</v>
      </c>
      <c r="X7" s="4">
        <v>5</v>
      </c>
      <c r="Y7" s="4">
        <v>6</v>
      </c>
      <c r="Z7" s="4">
        <v>7</v>
      </c>
      <c r="AA7" s="4">
        <v>8</v>
      </c>
      <c r="AB7" s="4">
        <v>9</v>
      </c>
      <c r="AC7" s="4">
        <v>10</v>
      </c>
      <c r="AD7" s="4">
        <v>11</v>
      </c>
      <c r="AE7" s="4">
        <v>12</v>
      </c>
      <c r="AF7" s="4">
        <v>13</v>
      </c>
      <c r="AG7" s="4">
        <v>14</v>
      </c>
      <c r="AH7" s="4">
        <v>15</v>
      </c>
      <c r="AI7" s="4">
        <v>16</v>
      </c>
      <c r="AJ7" s="4">
        <v>17</v>
      </c>
      <c r="AK7" s="4">
        <v>18</v>
      </c>
      <c r="AL7" s="4">
        <v>19</v>
      </c>
      <c r="AM7" s="4">
        <v>20</v>
      </c>
      <c r="AN7" s="4">
        <v>21</v>
      </c>
      <c r="AO7" s="4">
        <v>22</v>
      </c>
      <c r="AP7" s="4">
        <v>23</v>
      </c>
      <c r="AQ7" s="4">
        <v>24</v>
      </c>
      <c r="AR7" s="4">
        <v>25</v>
      </c>
      <c r="AS7" s="4">
        <v>26</v>
      </c>
      <c r="AT7" s="4">
        <v>27</v>
      </c>
      <c r="AU7" s="4">
        <v>28</v>
      </c>
      <c r="AV7" s="4">
        <v>29</v>
      </c>
      <c r="AW7" s="4">
        <v>30</v>
      </c>
      <c r="AX7" s="4">
        <v>31</v>
      </c>
      <c r="AY7" s="4">
        <v>32</v>
      </c>
      <c r="AZ7" s="4">
        <v>33</v>
      </c>
      <c r="BA7" s="4">
        <v>34</v>
      </c>
      <c r="BB7" s="4">
        <v>35</v>
      </c>
      <c r="BC7" s="4">
        <v>36</v>
      </c>
      <c r="BD7" s="4">
        <v>37</v>
      </c>
      <c r="BE7" s="4">
        <v>38</v>
      </c>
      <c r="BF7" s="4">
        <v>39</v>
      </c>
      <c r="BG7" s="4">
        <v>40</v>
      </c>
      <c r="BH7" s="4">
        <v>41</v>
      </c>
      <c r="BI7" s="4">
        <v>42</v>
      </c>
      <c r="BJ7" s="4">
        <v>43</v>
      </c>
      <c r="BK7" s="4">
        <v>44</v>
      </c>
      <c r="BL7" s="4">
        <v>45</v>
      </c>
      <c r="BM7" s="4">
        <v>46</v>
      </c>
      <c r="BN7" s="4">
        <v>47</v>
      </c>
      <c r="BO7" s="4">
        <v>48</v>
      </c>
      <c r="BP7" s="4">
        <v>49</v>
      </c>
      <c r="BQ7" s="4">
        <v>50</v>
      </c>
      <c r="BR7" s="4">
        <v>51</v>
      </c>
      <c r="BS7" s="4">
        <v>52</v>
      </c>
      <c r="BT7" s="4">
        <v>53</v>
      </c>
      <c r="BU7" s="4">
        <v>54</v>
      </c>
      <c r="BV7" s="4">
        <v>55</v>
      </c>
      <c r="BW7" s="4">
        <v>56</v>
      </c>
      <c r="BX7" s="4">
        <v>57</v>
      </c>
      <c r="BY7" s="4">
        <v>58</v>
      </c>
      <c r="BZ7" s="4">
        <v>59</v>
      </c>
      <c r="CA7" s="4">
        <v>60</v>
      </c>
      <c r="CB7" s="4">
        <v>61</v>
      </c>
      <c r="CC7" s="4">
        <v>62</v>
      </c>
      <c r="CD7" s="4">
        <v>63</v>
      </c>
      <c r="CE7" s="4">
        <v>64</v>
      </c>
      <c r="CF7" s="4">
        <v>65</v>
      </c>
      <c r="CG7" s="4">
        <v>66</v>
      </c>
      <c r="CH7" s="4">
        <v>67</v>
      </c>
      <c r="CI7" s="4">
        <v>68</v>
      </c>
      <c r="CJ7" s="4">
        <v>69</v>
      </c>
      <c r="CK7" s="4">
        <v>70</v>
      </c>
      <c r="CL7" s="4">
        <v>71</v>
      </c>
      <c r="CM7" s="4">
        <v>72</v>
      </c>
      <c r="CN7" s="4">
        <v>73</v>
      </c>
      <c r="CO7" s="4">
        <v>74</v>
      </c>
      <c r="CP7" s="4">
        <v>75</v>
      </c>
      <c r="CQ7" s="4">
        <v>76</v>
      </c>
      <c r="CR7" s="4">
        <v>77</v>
      </c>
      <c r="CS7" t="s">
        <v>22</v>
      </c>
      <c r="CT7" t="s">
        <v>23</v>
      </c>
      <c r="CU7" t="s">
        <v>24</v>
      </c>
    </row>
    <row r="8" spans="1:102" x14ac:dyDescent="0.25">
      <c r="A8" s="2">
        <v>1</v>
      </c>
      <c r="B8" s="2">
        <v>0</v>
      </c>
      <c r="C8" s="2">
        <v>0</v>
      </c>
      <c r="E8" s="2">
        <v>1</v>
      </c>
      <c r="F8" s="2">
        <v>1</v>
      </c>
      <c r="G8" s="2">
        <v>1</v>
      </c>
      <c r="H8" s="2">
        <v>2</v>
      </c>
      <c r="I8" s="2">
        <v>5.75</v>
      </c>
      <c r="J8" s="2">
        <v>1.3333333333333333</v>
      </c>
      <c r="K8" s="2">
        <v>5.9025653556549269</v>
      </c>
      <c r="L8" s="2">
        <v>0.97415270370386287</v>
      </c>
      <c r="M8" s="2">
        <v>0.22589048201828704</v>
      </c>
      <c r="N8" s="6"/>
      <c r="O8" s="2">
        <v>1</v>
      </c>
      <c r="P8" s="2">
        <v>0</v>
      </c>
      <c r="Q8" s="2">
        <v>0</v>
      </c>
      <c r="R8" t="s">
        <v>20</v>
      </c>
      <c r="S8" s="4">
        <v>1</v>
      </c>
      <c r="T8" s="2">
        <v>0.7875050010075858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1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>
        <v>1</v>
      </c>
      <c r="CT8">
        <v>0</v>
      </c>
      <c r="CU8">
        <v>0</v>
      </c>
    </row>
    <row r="9" spans="1:102" x14ac:dyDescent="0.25">
      <c r="A9" s="2">
        <v>2</v>
      </c>
      <c r="B9" s="2">
        <v>5.75</v>
      </c>
      <c r="C9" s="2">
        <f>B3/4.5</f>
        <v>1.3333333333333333</v>
      </c>
      <c r="E9" s="2">
        <v>1</v>
      </c>
      <c r="F9" s="2">
        <v>12</v>
      </c>
      <c r="G9" s="2">
        <v>1</v>
      </c>
      <c r="H9" s="2">
        <v>3</v>
      </c>
      <c r="I9" s="2">
        <v>5.75</v>
      </c>
      <c r="J9" s="2">
        <v>0</v>
      </c>
      <c r="K9" s="2">
        <v>5.75</v>
      </c>
      <c r="L9" s="2">
        <v>1</v>
      </c>
      <c r="M9" s="2">
        <v>0</v>
      </c>
      <c r="N9" s="6"/>
      <c r="O9" s="2">
        <v>2</v>
      </c>
      <c r="P9" s="2">
        <v>5.75</v>
      </c>
      <c r="Q9" s="2">
        <v>1.3333333333333333</v>
      </c>
      <c r="S9" s="5">
        <v>1</v>
      </c>
      <c r="T9" s="2">
        <v>0.6163082616581107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>
        <v>0</v>
      </c>
      <c r="CT9">
        <v>1</v>
      </c>
      <c r="CU9">
        <v>0</v>
      </c>
    </row>
    <row r="10" spans="1:102" x14ac:dyDescent="0.25">
      <c r="A10" s="2">
        <v>3</v>
      </c>
      <c r="B10" s="2">
        <v>5.75</v>
      </c>
      <c r="C10" s="2">
        <v>0</v>
      </c>
      <c r="E10" s="2">
        <v>2</v>
      </c>
      <c r="F10" s="2">
        <v>1</v>
      </c>
      <c r="G10" s="2">
        <v>2</v>
      </c>
      <c r="H10" s="2">
        <v>1</v>
      </c>
      <c r="I10" s="2">
        <v>-5.75</v>
      </c>
      <c r="J10" s="2">
        <v>-1.3333333333333333</v>
      </c>
      <c r="K10" s="2">
        <v>5.9025653556549269</v>
      </c>
      <c r="L10" s="2">
        <v>-0.97415270370386287</v>
      </c>
      <c r="M10" s="2">
        <v>-0.22589048201828704</v>
      </c>
      <c r="N10" s="6"/>
      <c r="O10" s="2">
        <v>1</v>
      </c>
      <c r="P10" s="2">
        <v>0</v>
      </c>
      <c r="Q10" s="2">
        <v>0</v>
      </c>
      <c r="S10" s="5">
        <v>2</v>
      </c>
      <c r="T10" s="2">
        <v>-0.7875050010075858</v>
      </c>
      <c r="U10" s="2">
        <v>0.99624058819568295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0.7875050010075858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>
        <v>0</v>
      </c>
      <c r="CT10">
        <v>0</v>
      </c>
      <c r="CU10">
        <v>0</v>
      </c>
    </row>
    <row r="11" spans="1:102" x14ac:dyDescent="0.25">
      <c r="A11" s="2">
        <v>4</v>
      </c>
      <c r="B11" s="2">
        <v>11.5</v>
      </c>
      <c r="C11" s="2">
        <f>B3/2.6</f>
        <v>2.3076923076923075</v>
      </c>
      <c r="E11" s="2">
        <v>2</v>
      </c>
      <c r="F11" s="2">
        <v>2</v>
      </c>
      <c r="G11" s="2">
        <v>2</v>
      </c>
      <c r="H11" s="2">
        <v>4</v>
      </c>
      <c r="I11" s="2">
        <v>5.75</v>
      </c>
      <c r="J11" s="2">
        <v>0.97435897435897423</v>
      </c>
      <c r="K11" s="2">
        <v>5.8319701140278379</v>
      </c>
      <c r="L11" s="2">
        <v>0.98594469580173727</v>
      </c>
      <c r="M11" s="2">
        <v>0.16707201088279158</v>
      </c>
      <c r="N11" s="6"/>
      <c r="O11" s="2">
        <v>3</v>
      </c>
      <c r="P11" s="2">
        <v>5.75</v>
      </c>
      <c r="Q11" s="2">
        <v>0</v>
      </c>
      <c r="S11" s="5">
        <v>2</v>
      </c>
      <c r="T11" s="2">
        <v>-0.6163082616581107</v>
      </c>
      <c r="U11" s="2">
        <v>8.6629616364841996E-2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-1</v>
      </c>
      <c r="BI11" s="2">
        <v>-0.6163082616581107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>
        <v>0</v>
      </c>
      <c r="CT11">
        <v>0</v>
      </c>
      <c r="CU11">
        <v>0</v>
      </c>
    </row>
    <row r="12" spans="1:102" x14ac:dyDescent="0.25">
      <c r="A12" s="2">
        <v>5</v>
      </c>
      <c r="B12" s="2">
        <v>11.5</v>
      </c>
      <c r="C12" s="2">
        <v>0</v>
      </c>
      <c r="E12" s="2">
        <v>2</v>
      </c>
      <c r="F12" s="2">
        <v>41</v>
      </c>
      <c r="G12" s="2">
        <v>2</v>
      </c>
      <c r="H12" s="2">
        <v>3</v>
      </c>
      <c r="I12" s="2">
        <v>0</v>
      </c>
      <c r="J12" s="2">
        <v>-1.3333333333333333</v>
      </c>
      <c r="K12" s="2">
        <v>1.3333333333333333</v>
      </c>
      <c r="L12" s="2">
        <v>0</v>
      </c>
      <c r="M12" s="2">
        <v>-1</v>
      </c>
      <c r="N12" s="6"/>
      <c r="O12" s="2">
        <v>2</v>
      </c>
      <c r="P12" s="2">
        <v>5.75</v>
      </c>
      <c r="Q12" s="2">
        <v>1.3333333333333333</v>
      </c>
      <c r="S12" s="3">
        <v>3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1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-1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>
        <v>0</v>
      </c>
      <c r="CT12">
        <v>0</v>
      </c>
      <c r="CU12">
        <v>0</v>
      </c>
    </row>
    <row r="13" spans="1:102" x14ac:dyDescent="0.25">
      <c r="A13" s="2">
        <v>6</v>
      </c>
      <c r="B13" s="2">
        <v>17.25</v>
      </c>
      <c r="C13" s="2">
        <f>B3/1.86</f>
        <v>3.225806451612903</v>
      </c>
      <c r="E13" s="2">
        <v>2</v>
      </c>
      <c r="F13" s="2">
        <v>42</v>
      </c>
      <c r="G13" s="2">
        <v>2</v>
      </c>
      <c r="H13" s="2">
        <v>5</v>
      </c>
      <c r="I13" s="2">
        <v>5.75</v>
      </c>
      <c r="J13" s="2">
        <v>-1.3333333333333333</v>
      </c>
      <c r="K13" s="2">
        <v>5.9025653556549269</v>
      </c>
      <c r="L13" s="2">
        <v>0.97415270370386287</v>
      </c>
      <c r="M13" s="2">
        <v>-0.22589048201828704</v>
      </c>
      <c r="N13" s="6"/>
      <c r="O13" s="2">
        <v>1</v>
      </c>
      <c r="P13" s="2">
        <v>0</v>
      </c>
      <c r="Q13" s="2">
        <v>0</v>
      </c>
      <c r="S13" s="3">
        <v>3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1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>
        <v>0</v>
      </c>
      <c r="CT13">
        <v>0</v>
      </c>
      <c r="CU13">
        <v>0</v>
      </c>
    </row>
    <row r="14" spans="1:102" x14ac:dyDescent="0.25">
      <c r="A14" s="2">
        <v>7</v>
      </c>
      <c r="B14" s="2">
        <v>17.25</v>
      </c>
      <c r="C14" s="2">
        <v>0</v>
      </c>
      <c r="E14" s="2">
        <v>3</v>
      </c>
      <c r="F14" s="2">
        <v>30</v>
      </c>
      <c r="G14" s="2">
        <v>3</v>
      </c>
      <c r="H14" s="2">
        <v>5</v>
      </c>
      <c r="I14" s="2">
        <v>5.75</v>
      </c>
      <c r="J14" s="2">
        <v>0</v>
      </c>
      <c r="K14" s="2">
        <v>5.75</v>
      </c>
      <c r="L14" s="2">
        <v>1</v>
      </c>
      <c r="M14" s="2">
        <v>0</v>
      </c>
      <c r="N14" s="6"/>
      <c r="O14" s="2">
        <v>2</v>
      </c>
      <c r="P14" s="2">
        <v>5.75</v>
      </c>
      <c r="Q14" s="2">
        <v>1.3333333333333333</v>
      </c>
      <c r="S14" s="3">
        <v>4</v>
      </c>
      <c r="T14" s="2">
        <v>0</v>
      </c>
      <c r="U14" s="2">
        <v>-0.99624058819568295</v>
      </c>
      <c r="V14" s="2">
        <v>0.99905615835505956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0.75460552216350463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>
        <v>0</v>
      </c>
      <c r="CT14">
        <v>0</v>
      </c>
      <c r="CU14">
        <v>0</v>
      </c>
    </row>
    <row r="15" spans="1:102" x14ac:dyDescent="0.25">
      <c r="A15" s="2">
        <v>8</v>
      </c>
      <c r="B15" s="2">
        <v>23</v>
      </c>
      <c r="C15" s="2">
        <f>B3/1.5</f>
        <v>4</v>
      </c>
      <c r="E15" s="2">
        <v>3</v>
      </c>
      <c r="F15" s="2">
        <v>40</v>
      </c>
      <c r="G15" s="2">
        <v>3</v>
      </c>
      <c r="H15" s="2">
        <v>1</v>
      </c>
      <c r="I15" s="2">
        <v>-5.75</v>
      </c>
      <c r="J15" s="2">
        <v>0</v>
      </c>
      <c r="K15" s="2">
        <v>5.75</v>
      </c>
      <c r="L15" s="2">
        <v>-1</v>
      </c>
      <c r="M15" s="2">
        <v>0</v>
      </c>
      <c r="N15" s="6"/>
      <c r="O15" s="2">
        <v>4</v>
      </c>
      <c r="P15" s="2">
        <v>11.5</v>
      </c>
      <c r="Q15" s="2">
        <v>2.3076923076923075</v>
      </c>
      <c r="S15" s="3">
        <v>4</v>
      </c>
      <c r="T15" s="2">
        <v>0</v>
      </c>
      <c r="U15" s="2">
        <v>-8.6629616364841996E-2</v>
      </c>
      <c r="V15" s="2">
        <v>4.3437224276306939E-2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-1</v>
      </c>
      <c r="BK15" s="2">
        <v>-0.65617871492478663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>
        <v>0</v>
      </c>
      <c r="CT15">
        <v>0</v>
      </c>
      <c r="CU15">
        <v>0</v>
      </c>
    </row>
    <row r="16" spans="1:102" x14ac:dyDescent="0.25">
      <c r="A16" s="2">
        <v>9</v>
      </c>
      <c r="B16" s="2">
        <v>23</v>
      </c>
      <c r="C16" s="2">
        <v>0</v>
      </c>
      <c r="E16" s="2">
        <v>3</v>
      </c>
      <c r="F16" s="2">
        <v>41</v>
      </c>
      <c r="G16" s="2">
        <v>3</v>
      </c>
      <c r="H16" s="2">
        <v>2</v>
      </c>
      <c r="I16" s="2">
        <v>0</v>
      </c>
      <c r="J16" s="2">
        <v>1.3333333333333333</v>
      </c>
      <c r="K16" s="2">
        <v>1.3333333333333333</v>
      </c>
      <c r="L16" s="2">
        <v>0</v>
      </c>
      <c r="M16" s="2">
        <v>1</v>
      </c>
      <c r="N16" s="6"/>
      <c r="O16" s="2">
        <v>2</v>
      </c>
      <c r="P16" s="2">
        <v>5.75</v>
      </c>
      <c r="Q16" s="2">
        <v>1.3333333333333333</v>
      </c>
      <c r="S16" s="3">
        <v>5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1</v>
      </c>
      <c r="BF16" s="2">
        <v>-1</v>
      </c>
      <c r="BG16" s="2">
        <v>0</v>
      </c>
      <c r="BH16" s="2">
        <v>0</v>
      </c>
      <c r="BI16" s="2">
        <v>-0.7875050010075858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2">
        <v>0</v>
      </c>
      <c r="CC16" s="2">
        <v>0</v>
      </c>
      <c r="CD16" s="2">
        <v>0</v>
      </c>
      <c r="CE16" s="2">
        <v>0</v>
      </c>
      <c r="CF16" s="2">
        <v>0</v>
      </c>
      <c r="CG16" s="2">
        <v>0</v>
      </c>
      <c r="CH16" s="2">
        <v>0</v>
      </c>
      <c r="CI16" s="2">
        <v>0</v>
      </c>
      <c r="CJ16" s="2">
        <v>0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>
        <v>0</v>
      </c>
      <c r="CT16">
        <v>0</v>
      </c>
      <c r="CU16">
        <v>0</v>
      </c>
    </row>
    <row r="17" spans="1:99" x14ac:dyDescent="0.25">
      <c r="A17" s="2">
        <v>10</v>
      </c>
      <c r="B17" s="2">
        <v>28.75</v>
      </c>
      <c r="C17" s="2">
        <f>B3/1.3</f>
        <v>4.615384615384615</v>
      </c>
      <c r="E17" s="2">
        <v>4</v>
      </c>
      <c r="F17" s="2">
        <v>2</v>
      </c>
      <c r="G17" s="2">
        <v>4</v>
      </c>
      <c r="H17" s="2">
        <v>2</v>
      </c>
      <c r="I17" s="2">
        <v>-5.75</v>
      </c>
      <c r="J17" s="2">
        <v>-0.97435897435897423</v>
      </c>
      <c r="K17" s="2">
        <v>5.8319701140278379</v>
      </c>
      <c r="L17" s="2">
        <v>-0.98594469580173727</v>
      </c>
      <c r="M17" s="2">
        <v>-0.16707201088279158</v>
      </c>
      <c r="N17" s="6"/>
      <c r="O17" s="2">
        <v>3</v>
      </c>
      <c r="P17" s="2">
        <v>5.75</v>
      </c>
      <c r="Q17" s="2">
        <v>0</v>
      </c>
      <c r="S17" s="3">
        <v>5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0.6163082616581107</v>
      </c>
      <c r="BJ17" s="2">
        <v>1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2">
        <v>0</v>
      </c>
      <c r="CC17" s="2">
        <v>0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0</v>
      </c>
      <c r="CL17" s="2">
        <v>0</v>
      </c>
      <c r="CM17" s="2">
        <v>0</v>
      </c>
      <c r="CN17" s="2">
        <v>0</v>
      </c>
      <c r="CO17" s="2">
        <v>0</v>
      </c>
      <c r="CP17" s="2">
        <v>0</v>
      </c>
      <c r="CQ17" s="2">
        <v>0</v>
      </c>
      <c r="CR17" s="2">
        <v>0</v>
      </c>
      <c r="CS17">
        <v>0</v>
      </c>
      <c r="CT17">
        <v>0</v>
      </c>
      <c r="CU17">
        <v>0</v>
      </c>
    </row>
    <row r="18" spans="1:99" x14ac:dyDescent="0.25">
      <c r="A18" s="2">
        <v>11</v>
      </c>
      <c r="B18" s="2">
        <v>28.75</v>
      </c>
      <c r="C18" s="2">
        <v>0</v>
      </c>
      <c r="E18" s="2">
        <v>4</v>
      </c>
      <c r="F18" s="2">
        <v>3</v>
      </c>
      <c r="G18" s="2">
        <v>4</v>
      </c>
      <c r="H18" s="2">
        <v>6</v>
      </c>
      <c r="I18" s="2">
        <v>5.75</v>
      </c>
      <c r="J18" s="2">
        <v>0.91811414392059554</v>
      </c>
      <c r="K18" s="2">
        <v>5.8228372449577401</v>
      </c>
      <c r="L18" s="2">
        <v>0.98749110753167402</v>
      </c>
      <c r="M18" s="2">
        <v>0.15767470483837281</v>
      </c>
      <c r="N18" s="6"/>
      <c r="O18" s="2">
        <v>2</v>
      </c>
      <c r="P18" s="2">
        <v>5.75</v>
      </c>
      <c r="Q18" s="2">
        <v>1.3333333333333333</v>
      </c>
      <c r="S18" s="3">
        <v>6</v>
      </c>
      <c r="T18" s="2">
        <v>0</v>
      </c>
      <c r="U18" s="2">
        <v>0</v>
      </c>
      <c r="V18" s="2">
        <v>-0.99905615835505956</v>
      </c>
      <c r="W18" s="2">
        <v>0.99965990892133372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0.7384854939281259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2">
        <v>0</v>
      </c>
      <c r="CC18" s="2">
        <v>0</v>
      </c>
      <c r="CD18" s="2">
        <v>0</v>
      </c>
      <c r="CE18" s="2">
        <v>0</v>
      </c>
      <c r="CF18" s="2">
        <v>0</v>
      </c>
      <c r="CG18" s="2">
        <v>0</v>
      </c>
      <c r="CH18" s="2">
        <v>0</v>
      </c>
      <c r="CI18" s="2">
        <v>0</v>
      </c>
      <c r="CJ18" s="2">
        <v>0</v>
      </c>
      <c r="CK18" s="2">
        <v>0</v>
      </c>
      <c r="CL18" s="2">
        <v>0</v>
      </c>
      <c r="CM18" s="2">
        <v>0</v>
      </c>
      <c r="CN18" s="2">
        <v>0</v>
      </c>
      <c r="CO18" s="2">
        <v>0</v>
      </c>
      <c r="CP18" s="2">
        <v>0</v>
      </c>
      <c r="CQ18" s="2">
        <v>0</v>
      </c>
      <c r="CR18" s="2">
        <v>0</v>
      </c>
      <c r="CS18">
        <v>0</v>
      </c>
      <c r="CT18">
        <v>0</v>
      </c>
      <c r="CU18">
        <v>0</v>
      </c>
    </row>
    <row r="19" spans="1:99" x14ac:dyDescent="0.25">
      <c r="A19" s="2">
        <v>12</v>
      </c>
      <c r="B19" s="2">
        <v>34.5</v>
      </c>
      <c r="C19" s="2">
        <f>B3/1.2</f>
        <v>5</v>
      </c>
      <c r="E19" s="2">
        <v>4</v>
      </c>
      <c r="F19" s="2">
        <v>43</v>
      </c>
      <c r="G19" s="2">
        <v>4</v>
      </c>
      <c r="H19" s="2">
        <v>5</v>
      </c>
      <c r="I19" s="2">
        <v>0</v>
      </c>
      <c r="J19" s="2">
        <v>-2.3076923076923075</v>
      </c>
      <c r="K19" s="2">
        <v>2.3076923076923075</v>
      </c>
      <c r="L19" s="2">
        <v>0</v>
      </c>
      <c r="M19" s="2">
        <v>-1</v>
      </c>
      <c r="N19" s="6"/>
      <c r="O19" s="2">
        <v>5</v>
      </c>
      <c r="P19" s="2">
        <v>11.5</v>
      </c>
      <c r="Q19" s="2">
        <v>0</v>
      </c>
      <c r="S19" s="3">
        <v>6</v>
      </c>
      <c r="T19" s="2">
        <v>0</v>
      </c>
      <c r="U19" s="2">
        <v>0</v>
      </c>
      <c r="V19" s="2">
        <v>-4.3437224276306939E-2</v>
      </c>
      <c r="W19" s="2">
        <v>2.6078084580556594E-2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-1</v>
      </c>
      <c r="BM19" s="2">
        <v>-0.67426936402133231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2">
        <v>0</v>
      </c>
      <c r="CC19" s="2">
        <v>0</v>
      </c>
      <c r="CD19" s="2">
        <v>0</v>
      </c>
      <c r="CE19" s="2">
        <v>0</v>
      </c>
      <c r="CF19" s="2">
        <v>0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0</v>
      </c>
      <c r="CN19" s="2">
        <v>0</v>
      </c>
      <c r="CO19" s="2">
        <v>0</v>
      </c>
      <c r="CP19" s="2">
        <v>0</v>
      </c>
      <c r="CQ19" s="2">
        <v>0</v>
      </c>
      <c r="CR19" s="2">
        <v>0</v>
      </c>
      <c r="CS19">
        <v>0</v>
      </c>
      <c r="CT19">
        <v>0</v>
      </c>
      <c r="CU19">
        <v>0</v>
      </c>
    </row>
    <row r="20" spans="1:99" x14ac:dyDescent="0.25">
      <c r="A20" s="2">
        <v>13</v>
      </c>
      <c r="B20" s="2">
        <v>34.5</v>
      </c>
      <c r="C20" s="2">
        <v>0</v>
      </c>
      <c r="E20" s="2">
        <v>4</v>
      </c>
      <c r="F20" s="2">
        <v>44</v>
      </c>
      <c r="G20" s="2">
        <v>4</v>
      </c>
      <c r="H20" s="2">
        <v>7</v>
      </c>
      <c r="I20" s="2">
        <v>5.75</v>
      </c>
      <c r="J20" s="2">
        <v>-2.3076923076923075</v>
      </c>
      <c r="K20" s="2">
        <v>6.1958004960603956</v>
      </c>
      <c r="L20" s="2">
        <v>0.92804795823495956</v>
      </c>
      <c r="M20" s="2">
        <v>-0.37246071902406402</v>
      </c>
      <c r="N20" s="6"/>
      <c r="O20" s="2">
        <v>3</v>
      </c>
      <c r="P20" s="2">
        <v>5.75</v>
      </c>
      <c r="Q20" s="2">
        <v>0</v>
      </c>
      <c r="S20" s="3">
        <v>7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1</v>
      </c>
      <c r="BE20" s="2">
        <v>-1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-0.75460552216350463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2">
        <v>0</v>
      </c>
      <c r="CC20" s="2">
        <v>0</v>
      </c>
      <c r="CD20" s="2">
        <v>0</v>
      </c>
      <c r="CE20" s="2">
        <v>0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0</v>
      </c>
      <c r="CL20" s="2">
        <v>0</v>
      </c>
      <c r="CM20" s="2">
        <v>0</v>
      </c>
      <c r="CN20" s="2">
        <v>0</v>
      </c>
      <c r="CO20" s="2">
        <v>0</v>
      </c>
      <c r="CP20" s="2">
        <v>0</v>
      </c>
      <c r="CQ20" s="2">
        <v>0</v>
      </c>
      <c r="CR20" s="2">
        <v>0</v>
      </c>
      <c r="CS20">
        <v>0</v>
      </c>
      <c r="CT20">
        <v>0</v>
      </c>
      <c r="CU20">
        <v>0</v>
      </c>
    </row>
    <row r="21" spans="1:99" x14ac:dyDescent="0.25">
      <c r="A21" s="2">
        <v>14</v>
      </c>
      <c r="B21" s="2">
        <v>40.25</v>
      </c>
      <c r="C21" s="2">
        <f>B3/1.12</f>
        <v>5.3571428571428568</v>
      </c>
      <c r="E21" s="2">
        <v>5</v>
      </c>
      <c r="F21" s="2">
        <v>38</v>
      </c>
      <c r="G21" s="2">
        <v>5</v>
      </c>
      <c r="H21" s="2">
        <v>7</v>
      </c>
      <c r="I21" s="2">
        <v>5.75</v>
      </c>
      <c r="J21" s="2">
        <v>0</v>
      </c>
      <c r="K21" s="2">
        <v>5.75</v>
      </c>
      <c r="L21" s="2">
        <v>1</v>
      </c>
      <c r="M21" s="2">
        <v>0</v>
      </c>
      <c r="N21" s="6"/>
      <c r="O21" s="2">
        <v>5</v>
      </c>
      <c r="P21" s="2">
        <v>11.5</v>
      </c>
      <c r="Q21" s="2">
        <v>0</v>
      </c>
      <c r="S21" s="3">
        <v>7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0.65617871492478663</v>
      </c>
      <c r="BL21" s="2">
        <v>1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2">
        <v>0</v>
      </c>
      <c r="CC21" s="2">
        <v>0</v>
      </c>
      <c r="CD21" s="2">
        <v>0</v>
      </c>
      <c r="CE21" s="2">
        <v>0</v>
      </c>
      <c r="CF21" s="2">
        <v>0</v>
      </c>
      <c r="CG21" s="2">
        <v>0</v>
      </c>
      <c r="CH21" s="2">
        <v>0</v>
      </c>
      <c r="CI21" s="2">
        <v>0</v>
      </c>
      <c r="CJ21" s="2">
        <v>0</v>
      </c>
      <c r="CK21" s="2">
        <v>0</v>
      </c>
      <c r="CL21" s="2">
        <v>0</v>
      </c>
      <c r="CM21" s="2">
        <v>0</v>
      </c>
      <c r="CN21" s="2">
        <v>0</v>
      </c>
      <c r="CO21" s="2">
        <v>0</v>
      </c>
      <c r="CP21" s="2">
        <v>0</v>
      </c>
      <c r="CQ21" s="2">
        <v>0</v>
      </c>
      <c r="CR21" s="2">
        <v>0</v>
      </c>
      <c r="CS21">
        <v>0</v>
      </c>
      <c r="CT21">
        <v>0</v>
      </c>
      <c r="CU21">
        <v>0</v>
      </c>
    </row>
    <row r="22" spans="1:99" x14ac:dyDescent="0.25">
      <c r="A22" s="2">
        <v>15</v>
      </c>
      <c r="B22" s="2">
        <v>40.25</v>
      </c>
      <c r="C22" s="2">
        <v>0</v>
      </c>
      <c r="E22" s="2">
        <v>5</v>
      </c>
      <c r="F22" s="2">
        <v>39</v>
      </c>
      <c r="G22" s="2">
        <v>5</v>
      </c>
      <c r="H22" s="2">
        <v>3</v>
      </c>
      <c r="I22" s="2">
        <v>-5.75</v>
      </c>
      <c r="J22" s="2">
        <v>0</v>
      </c>
      <c r="K22" s="2">
        <v>5.75</v>
      </c>
      <c r="L22" s="2">
        <v>-1</v>
      </c>
      <c r="M22" s="2">
        <v>0</v>
      </c>
      <c r="N22" s="6"/>
      <c r="O22" s="2">
        <v>3</v>
      </c>
      <c r="P22" s="2">
        <v>5.75</v>
      </c>
      <c r="Q22" s="2">
        <v>0</v>
      </c>
      <c r="S22" s="3">
        <v>8</v>
      </c>
      <c r="T22" s="2">
        <v>0</v>
      </c>
      <c r="U22" s="2">
        <v>0</v>
      </c>
      <c r="V22" s="2">
        <v>0</v>
      </c>
      <c r="W22" s="2">
        <v>-0.99965990892133372</v>
      </c>
      <c r="X22" s="2">
        <v>0.99984880556309119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0.72894391759820254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2">
        <v>0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0</v>
      </c>
      <c r="CN22" s="2">
        <v>0</v>
      </c>
      <c r="CO22" s="2">
        <v>0</v>
      </c>
      <c r="CP22" s="2">
        <v>0</v>
      </c>
      <c r="CQ22" s="2">
        <v>0</v>
      </c>
      <c r="CR22" s="2">
        <v>0</v>
      </c>
      <c r="CS22">
        <v>0</v>
      </c>
      <c r="CT22">
        <v>0</v>
      </c>
      <c r="CU22">
        <v>0</v>
      </c>
    </row>
    <row r="23" spans="1:99" x14ac:dyDescent="0.25">
      <c r="A23" s="2">
        <v>16</v>
      </c>
      <c r="B23" s="2">
        <v>46</v>
      </c>
      <c r="C23" s="2">
        <f>B3/1.06</f>
        <v>5.6603773584905657</v>
      </c>
      <c r="E23" s="2">
        <v>5</v>
      </c>
      <c r="F23" s="2">
        <v>42</v>
      </c>
      <c r="G23" s="2">
        <v>5</v>
      </c>
      <c r="H23" s="2">
        <v>2</v>
      </c>
      <c r="I23" s="2">
        <v>-5.75</v>
      </c>
      <c r="J23" s="2">
        <v>1.3333333333333333</v>
      </c>
      <c r="K23" s="2">
        <v>5.9025653556549269</v>
      </c>
      <c r="L23" s="2">
        <v>-0.97415270370386287</v>
      </c>
      <c r="M23" s="2">
        <v>0.22589048201828704</v>
      </c>
      <c r="N23" s="6"/>
      <c r="O23" s="2">
        <v>1</v>
      </c>
      <c r="P23" s="2">
        <v>0</v>
      </c>
      <c r="Q23" s="2">
        <v>0</v>
      </c>
      <c r="S23" s="3">
        <v>8</v>
      </c>
      <c r="T23" s="2">
        <v>0</v>
      </c>
      <c r="U23" s="2">
        <v>0</v>
      </c>
      <c r="V23" s="2">
        <v>0</v>
      </c>
      <c r="W23" s="2">
        <v>-2.6078084580556594E-2</v>
      </c>
      <c r="X23" s="2">
        <v>1.7388674879358045E-2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-1</v>
      </c>
      <c r="BO23" s="2">
        <v>-0.68457341826613816</v>
      </c>
      <c r="BP23" s="2">
        <v>0</v>
      </c>
      <c r="BQ23" s="2">
        <v>0</v>
      </c>
      <c r="BR23" s="2">
        <v>0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2">
        <v>0</v>
      </c>
      <c r="CC23" s="2">
        <v>0</v>
      </c>
      <c r="CD23" s="2">
        <v>0</v>
      </c>
      <c r="CE23" s="2">
        <v>0</v>
      </c>
      <c r="CF23" s="2">
        <v>0</v>
      </c>
      <c r="CG23" s="2">
        <v>0</v>
      </c>
      <c r="CH23" s="2">
        <v>0</v>
      </c>
      <c r="CI23" s="2">
        <v>0</v>
      </c>
      <c r="CJ23" s="2">
        <v>0</v>
      </c>
      <c r="CK23" s="2">
        <v>0</v>
      </c>
      <c r="CL23" s="2">
        <v>0</v>
      </c>
      <c r="CM23" s="2">
        <v>0</v>
      </c>
      <c r="CN23" s="2">
        <v>0</v>
      </c>
      <c r="CO23" s="2">
        <v>0</v>
      </c>
      <c r="CP23" s="2">
        <v>0</v>
      </c>
      <c r="CQ23" s="2">
        <v>0</v>
      </c>
      <c r="CR23" s="2">
        <v>0</v>
      </c>
      <c r="CS23">
        <v>0</v>
      </c>
      <c r="CT23">
        <v>0</v>
      </c>
      <c r="CU23">
        <v>0</v>
      </c>
    </row>
    <row r="24" spans="1:99" x14ac:dyDescent="0.25">
      <c r="A24" s="2">
        <v>17</v>
      </c>
      <c r="B24" s="2">
        <v>46</v>
      </c>
      <c r="C24" s="2">
        <v>0</v>
      </c>
      <c r="E24" s="2">
        <v>5</v>
      </c>
      <c r="F24" s="2">
        <v>43</v>
      </c>
      <c r="G24" s="2">
        <v>5</v>
      </c>
      <c r="H24" s="2">
        <v>4</v>
      </c>
      <c r="I24" s="2">
        <v>0</v>
      </c>
      <c r="J24" s="2">
        <v>2.3076923076923075</v>
      </c>
      <c r="K24" s="2">
        <v>2.3076923076923075</v>
      </c>
      <c r="L24" s="2">
        <v>0</v>
      </c>
      <c r="M24" s="2">
        <v>1</v>
      </c>
      <c r="N24" s="6"/>
      <c r="O24" s="2">
        <v>3</v>
      </c>
      <c r="P24" s="2">
        <v>5.75</v>
      </c>
      <c r="Q24" s="2">
        <v>0</v>
      </c>
      <c r="S24" s="3">
        <v>9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1</v>
      </c>
      <c r="BD24" s="2">
        <v>-1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-0.7384854939281259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0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2">
        <v>0</v>
      </c>
      <c r="CC24" s="2">
        <v>0</v>
      </c>
      <c r="CD24" s="2">
        <v>0</v>
      </c>
      <c r="CE24" s="2">
        <v>0</v>
      </c>
      <c r="CF24" s="2">
        <v>0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0</v>
      </c>
      <c r="CP24" s="2">
        <v>0</v>
      </c>
      <c r="CQ24" s="2">
        <v>0</v>
      </c>
      <c r="CR24" s="2">
        <v>0</v>
      </c>
      <c r="CS24">
        <v>0</v>
      </c>
      <c r="CT24">
        <v>0</v>
      </c>
      <c r="CU24">
        <v>0</v>
      </c>
    </row>
    <row r="25" spans="1:99" x14ac:dyDescent="0.25">
      <c r="A25" s="2">
        <v>18</v>
      </c>
      <c r="B25" s="2">
        <v>51.75</v>
      </c>
      <c r="C25" s="2">
        <f>B3/1.02</f>
        <v>5.8823529411764701</v>
      </c>
      <c r="E25" s="2">
        <v>6</v>
      </c>
      <c r="F25" s="2">
        <v>3</v>
      </c>
      <c r="G25" s="2">
        <v>6</v>
      </c>
      <c r="H25" s="2">
        <v>4</v>
      </c>
      <c r="I25" s="2">
        <v>-5.75</v>
      </c>
      <c r="J25" s="2">
        <v>-0.91811414392059554</v>
      </c>
      <c r="K25" s="2">
        <v>5.8228372449577401</v>
      </c>
      <c r="L25" s="2">
        <v>-0.98749110753167402</v>
      </c>
      <c r="M25" s="2">
        <v>-0.15767470483837281</v>
      </c>
      <c r="N25" s="6"/>
      <c r="O25" s="2">
        <v>2</v>
      </c>
      <c r="P25" s="2">
        <v>5.75</v>
      </c>
      <c r="Q25" s="2">
        <v>1.3333333333333333</v>
      </c>
      <c r="S25" s="3">
        <v>9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  <c r="BL25" s="2">
        <v>0</v>
      </c>
      <c r="BM25" s="2">
        <v>0.67426936402133231</v>
      </c>
      <c r="BN25" s="2">
        <v>1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2">
        <v>0</v>
      </c>
      <c r="CC25" s="2">
        <v>0</v>
      </c>
      <c r="CD25" s="2">
        <v>0</v>
      </c>
      <c r="CE25" s="2">
        <v>0</v>
      </c>
      <c r="CF25" s="2">
        <v>0</v>
      </c>
      <c r="CG25" s="2">
        <v>0</v>
      </c>
      <c r="CH25" s="2">
        <v>0</v>
      </c>
      <c r="CI25" s="2">
        <v>0</v>
      </c>
      <c r="CJ25" s="2">
        <v>0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0</v>
      </c>
      <c r="CS25">
        <v>0</v>
      </c>
      <c r="CT25">
        <v>0</v>
      </c>
      <c r="CU25">
        <v>0</v>
      </c>
    </row>
    <row r="26" spans="1:99" x14ac:dyDescent="0.25">
      <c r="A26" s="2">
        <v>19</v>
      </c>
      <c r="B26" s="2">
        <v>51.75</v>
      </c>
      <c r="C26" s="2">
        <v>0</v>
      </c>
      <c r="E26" s="2">
        <v>6</v>
      </c>
      <c r="F26" s="2">
        <v>4</v>
      </c>
      <c r="G26" s="2">
        <v>6</v>
      </c>
      <c r="H26" s="2">
        <v>8</v>
      </c>
      <c r="I26" s="2">
        <v>5.75</v>
      </c>
      <c r="J26" s="2">
        <v>0.77419354838709697</v>
      </c>
      <c r="K26" s="2">
        <v>5.8018855254446553</v>
      </c>
      <c r="L26" s="2">
        <v>0.99105712699481796</v>
      </c>
      <c r="M26" s="2">
        <v>0.13343826674825043</v>
      </c>
      <c r="N26" s="6"/>
      <c r="O26" s="2">
        <v>4</v>
      </c>
      <c r="P26" s="2">
        <v>11.5</v>
      </c>
      <c r="Q26" s="2">
        <v>2.3076923076923075</v>
      </c>
      <c r="S26" s="3">
        <v>10</v>
      </c>
      <c r="T26" s="2">
        <v>0</v>
      </c>
      <c r="U26" s="2">
        <v>0</v>
      </c>
      <c r="V26" s="2">
        <v>0</v>
      </c>
      <c r="W26" s="2">
        <v>0</v>
      </c>
      <c r="X26" s="2">
        <v>-0.99984880556309119</v>
      </c>
      <c r="Y26" s="2">
        <v>0.99992285141170434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0.72264185714769913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2">
        <v>0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>
        <v>0</v>
      </c>
      <c r="CT26">
        <v>0</v>
      </c>
      <c r="CU26">
        <v>0</v>
      </c>
    </row>
    <row r="27" spans="1:99" x14ac:dyDescent="0.25">
      <c r="A27" s="2">
        <v>20</v>
      </c>
      <c r="B27" s="2">
        <v>57.5</v>
      </c>
      <c r="C27" s="2">
        <v>6</v>
      </c>
      <c r="E27" s="2">
        <v>6</v>
      </c>
      <c r="F27" s="2">
        <v>45</v>
      </c>
      <c r="G27" s="2">
        <v>6</v>
      </c>
      <c r="H27" s="2">
        <v>7</v>
      </c>
      <c r="I27" s="2">
        <v>0</v>
      </c>
      <c r="J27" s="2">
        <v>-3.225806451612903</v>
      </c>
      <c r="K27" s="2">
        <v>3.225806451612903</v>
      </c>
      <c r="L27" s="2">
        <v>0</v>
      </c>
      <c r="M27" s="2">
        <v>-1</v>
      </c>
      <c r="N27" s="6"/>
      <c r="O27" s="2">
        <v>2</v>
      </c>
      <c r="P27" s="2">
        <v>5.75</v>
      </c>
      <c r="Q27" s="2">
        <v>1.3333333333333333</v>
      </c>
      <c r="S27" s="3">
        <v>10</v>
      </c>
      <c r="T27" s="2">
        <v>0</v>
      </c>
      <c r="U27" s="2">
        <v>0</v>
      </c>
      <c r="V27" s="2">
        <v>0</v>
      </c>
      <c r="W27" s="2">
        <v>0</v>
      </c>
      <c r="X27" s="2">
        <v>-1.7388674879358045E-2</v>
      </c>
      <c r="Y27" s="2">
        <v>1.2421401880890694E-2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-1</v>
      </c>
      <c r="BQ27" s="2">
        <v>-0.69122264596736438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2">
        <v>0</v>
      </c>
      <c r="CC27" s="2">
        <v>0</v>
      </c>
      <c r="CD27" s="2">
        <v>0</v>
      </c>
      <c r="CE27" s="2">
        <v>0</v>
      </c>
      <c r="CF27" s="2">
        <v>0</v>
      </c>
      <c r="CG27" s="2">
        <v>0</v>
      </c>
      <c r="CH27" s="2">
        <v>0</v>
      </c>
      <c r="CI27" s="2">
        <v>0</v>
      </c>
      <c r="CJ27" s="2">
        <v>0</v>
      </c>
      <c r="CK27" s="2">
        <v>0</v>
      </c>
      <c r="CL27" s="2">
        <v>0</v>
      </c>
      <c r="CM27" s="2">
        <v>0</v>
      </c>
      <c r="CN27" s="2">
        <v>0</v>
      </c>
      <c r="CO27" s="2">
        <v>0</v>
      </c>
      <c r="CP27" s="2">
        <v>0</v>
      </c>
      <c r="CQ27" s="2">
        <v>0</v>
      </c>
      <c r="CR27" s="2">
        <v>0</v>
      </c>
      <c r="CS27">
        <v>0</v>
      </c>
      <c r="CT27">
        <v>0</v>
      </c>
      <c r="CU27">
        <v>0</v>
      </c>
    </row>
    <row r="28" spans="1:99" x14ac:dyDescent="0.25">
      <c r="A28" s="2">
        <v>21</v>
      </c>
      <c r="B28" s="2">
        <v>57.5</v>
      </c>
      <c r="C28" s="2">
        <v>0</v>
      </c>
      <c r="E28" s="2">
        <v>6</v>
      </c>
      <c r="F28" s="2">
        <v>46</v>
      </c>
      <c r="G28" s="2">
        <v>6</v>
      </c>
      <c r="H28" s="2">
        <v>9</v>
      </c>
      <c r="I28" s="2">
        <v>5.75</v>
      </c>
      <c r="J28" s="2">
        <v>-3.225806451612903</v>
      </c>
      <c r="K28" s="2">
        <v>6.5930514379358076</v>
      </c>
      <c r="L28" s="2">
        <v>0.87213031084742221</v>
      </c>
      <c r="M28" s="2">
        <v>-0.48927366667457062</v>
      </c>
      <c r="N28" s="6"/>
      <c r="O28" s="2">
        <v>4</v>
      </c>
      <c r="P28" s="2">
        <v>11.5</v>
      </c>
      <c r="Q28" s="2">
        <v>2.3076923076923075</v>
      </c>
      <c r="S28" s="3">
        <v>11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1</v>
      </c>
      <c r="BC28" s="2">
        <v>-1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-0.72894391759820254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2">
        <v>0</v>
      </c>
      <c r="CC28" s="2">
        <v>0</v>
      </c>
      <c r="CD28" s="2">
        <v>0</v>
      </c>
      <c r="CE28" s="2">
        <v>0</v>
      </c>
      <c r="CF28" s="2">
        <v>0</v>
      </c>
      <c r="CG28" s="2">
        <v>0</v>
      </c>
      <c r="CH28" s="2">
        <v>0</v>
      </c>
      <c r="CI28" s="2">
        <v>0</v>
      </c>
      <c r="CJ28" s="2">
        <v>0</v>
      </c>
      <c r="CK28" s="2">
        <v>0</v>
      </c>
      <c r="CL28" s="2">
        <v>0</v>
      </c>
      <c r="CM28" s="2">
        <v>0</v>
      </c>
      <c r="CN28" s="2">
        <v>0</v>
      </c>
      <c r="CO28" s="2">
        <v>0</v>
      </c>
      <c r="CP28" s="2">
        <v>0</v>
      </c>
      <c r="CQ28" s="2">
        <v>0</v>
      </c>
      <c r="CR28" s="2">
        <v>0</v>
      </c>
      <c r="CS28">
        <v>0</v>
      </c>
      <c r="CT28">
        <v>0</v>
      </c>
      <c r="CU28">
        <v>0</v>
      </c>
    </row>
    <row r="29" spans="1:99" x14ac:dyDescent="0.25">
      <c r="A29" s="2">
        <v>22</v>
      </c>
      <c r="B29" s="2">
        <v>63.25</v>
      </c>
      <c r="C29" s="2">
        <f>B3/1.02</f>
        <v>5.8823529411764701</v>
      </c>
      <c r="E29" s="2">
        <v>7</v>
      </c>
      <c r="F29" s="2">
        <v>37</v>
      </c>
      <c r="G29" s="2">
        <v>7</v>
      </c>
      <c r="H29" s="2">
        <v>9</v>
      </c>
      <c r="I29" s="2">
        <v>5.75</v>
      </c>
      <c r="J29" s="2">
        <v>0</v>
      </c>
      <c r="K29" s="2">
        <v>5.75</v>
      </c>
      <c r="L29" s="2">
        <v>1</v>
      </c>
      <c r="M29" s="2">
        <v>0</v>
      </c>
      <c r="N29" s="6"/>
      <c r="O29" s="2">
        <v>6</v>
      </c>
      <c r="P29" s="2">
        <v>17.25</v>
      </c>
      <c r="Q29" s="2">
        <v>3.225806451612903</v>
      </c>
      <c r="S29" s="3">
        <v>11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0.68457341826613816</v>
      </c>
      <c r="BP29" s="2">
        <v>1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2">
        <v>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>
        <v>0</v>
      </c>
      <c r="CT29">
        <v>0</v>
      </c>
      <c r="CU29">
        <v>0</v>
      </c>
    </row>
    <row r="30" spans="1:99" x14ac:dyDescent="0.25">
      <c r="A30" s="2">
        <v>23</v>
      </c>
      <c r="B30" s="2">
        <v>63.25</v>
      </c>
      <c r="C30" s="2">
        <v>0</v>
      </c>
      <c r="E30" s="2">
        <v>7</v>
      </c>
      <c r="F30" s="2">
        <v>38</v>
      </c>
      <c r="G30" s="2">
        <v>7</v>
      </c>
      <c r="H30" s="2">
        <v>5</v>
      </c>
      <c r="I30" s="2">
        <v>-5.75</v>
      </c>
      <c r="J30" s="2">
        <v>0</v>
      </c>
      <c r="K30" s="2">
        <v>5.75</v>
      </c>
      <c r="L30" s="2">
        <v>-1</v>
      </c>
      <c r="M30" s="2">
        <v>0</v>
      </c>
      <c r="N30" s="6"/>
      <c r="O30" s="2">
        <v>4</v>
      </c>
      <c r="P30" s="2">
        <v>11.5</v>
      </c>
      <c r="Q30" s="2">
        <v>2.3076923076923075</v>
      </c>
      <c r="S30" s="3">
        <v>12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-0.99992285141170434</v>
      </c>
      <c r="Z30" s="2">
        <v>0.99995660172192669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0.7181705560723638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2">
        <v>0</v>
      </c>
      <c r="CD30" s="2">
        <v>0</v>
      </c>
      <c r="CE30" s="2">
        <v>0</v>
      </c>
      <c r="CF30" s="2">
        <v>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>
        <v>0</v>
      </c>
      <c r="CT30">
        <v>0</v>
      </c>
      <c r="CU30">
        <v>0</v>
      </c>
    </row>
    <row r="31" spans="1:99" x14ac:dyDescent="0.25">
      <c r="A31" s="2">
        <v>24</v>
      </c>
      <c r="B31" s="2">
        <v>69</v>
      </c>
      <c r="C31" s="2">
        <f>B3/1.06</f>
        <v>5.6603773584905657</v>
      </c>
      <c r="E31" s="2">
        <v>7</v>
      </c>
      <c r="F31" s="2">
        <v>44</v>
      </c>
      <c r="G31" s="2">
        <v>7</v>
      </c>
      <c r="H31" s="2">
        <v>4</v>
      </c>
      <c r="I31" s="2">
        <v>-5.75</v>
      </c>
      <c r="J31" s="2">
        <v>2.3076923076923075</v>
      </c>
      <c r="K31" s="2">
        <v>6.1958004960603956</v>
      </c>
      <c r="L31" s="2">
        <v>-0.92804795823495956</v>
      </c>
      <c r="M31" s="2">
        <v>0.37246071902406402</v>
      </c>
      <c r="N31" s="6"/>
      <c r="O31" s="2">
        <v>5</v>
      </c>
      <c r="P31" s="2">
        <v>11.5</v>
      </c>
      <c r="Q31" s="2">
        <v>0</v>
      </c>
      <c r="S31" s="3">
        <v>12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-1.2421401880890694E-2</v>
      </c>
      <c r="Z31" s="2">
        <v>9.3163658545521565E-3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-1</v>
      </c>
      <c r="BS31" s="2">
        <v>-0.69586712265396744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2">
        <v>0</v>
      </c>
      <c r="CD31" s="2">
        <v>0</v>
      </c>
      <c r="CE31" s="2">
        <v>0</v>
      </c>
      <c r="CF31" s="2">
        <v>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>
        <v>0</v>
      </c>
      <c r="CT31">
        <v>0</v>
      </c>
      <c r="CU31">
        <v>0</v>
      </c>
    </row>
    <row r="32" spans="1:99" x14ac:dyDescent="0.25">
      <c r="A32" s="2">
        <v>25</v>
      </c>
      <c r="B32" s="2">
        <v>69</v>
      </c>
      <c r="C32" s="2">
        <v>0</v>
      </c>
      <c r="E32" s="2">
        <v>7</v>
      </c>
      <c r="F32" s="2">
        <v>45</v>
      </c>
      <c r="G32" s="2">
        <v>7</v>
      </c>
      <c r="H32" s="2">
        <v>6</v>
      </c>
      <c r="I32" s="2">
        <v>0</v>
      </c>
      <c r="J32" s="2">
        <v>3.225806451612903</v>
      </c>
      <c r="K32" s="2">
        <v>3.225806451612903</v>
      </c>
      <c r="L32" s="2">
        <v>0</v>
      </c>
      <c r="M32" s="2">
        <v>1</v>
      </c>
      <c r="N32" s="6"/>
      <c r="O32" s="2">
        <v>4</v>
      </c>
      <c r="P32" s="2">
        <v>11.5</v>
      </c>
      <c r="Q32" s="2">
        <v>2.3076923076923075</v>
      </c>
      <c r="S32" s="3">
        <v>13</v>
      </c>
      <c r="T32" s="2">
        <v>0</v>
      </c>
      <c r="U32" s="2">
        <v>0</v>
      </c>
      <c r="V32" s="2">
        <v>-1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1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2">
        <v>-0.72264185714769913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2">
        <v>0</v>
      </c>
      <c r="CD32" s="2">
        <v>0</v>
      </c>
      <c r="CE32" s="2">
        <v>0</v>
      </c>
      <c r="CF32" s="2">
        <v>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>
        <v>0</v>
      </c>
      <c r="CT32">
        <v>0</v>
      </c>
      <c r="CU32">
        <v>0</v>
      </c>
    </row>
    <row r="33" spans="1:99" x14ac:dyDescent="0.25">
      <c r="A33" s="2">
        <v>26</v>
      </c>
      <c r="B33" s="2">
        <v>74.75</v>
      </c>
      <c r="C33" s="2">
        <f>B3/1.12</f>
        <v>5.3571428571428568</v>
      </c>
      <c r="E33" s="2">
        <v>8</v>
      </c>
      <c r="F33" s="2">
        <v>4</v>
      </c>
      <c r="G33" s="2">
        <v>8</v>
      </c>
      <c r="H33" s="2">
        <v>6</v>
      </c>
      <c r="I33" s="2">
        <v>-5.75</v>
      </c>
      <c r="J33" s="2">
        <v>-0.77419354838709697</v>
      </c>
      <c r="K33" s="2">
        <v>5.8018855254446553</v>
      </c>
      <c r="L33" s="2">
        <v>-0.99105712699481796</v>
      </c>
      <c r="M33" s="2">
        <v>-0.13343826674825043</v>
      </c>
      <c r="N33" s="6"/>
      <c r="O33" s="2">
        <v>7</v>
      </c>
      <c r="P33" s="2">
        <v>17.25</v>
      </c>
      <c r="Q33" s="2">
        <v>0</v>
      </c>
      <c r="S33" s="3">
        <v>13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0.69122264596736438</v>
      </c>
      <c r="BR33" s="2">
        <v>1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2">
        <v>0</v>
      </c>
      <c r="CD33" s="2">
        <v>0</v>
      </c>
      <c r="CE33" s="2">
        <v>0</v>
      </c>
      <c r="CF33" s="2">
        <v>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>
        <v>0</v>
      </c>
      <c r="CT33">
        <v>0</v>
      </c>
      <c r="CU33">
        <v>0</v>
      </c>
    </row>
    <row r="34" spans="1:99" x14ac:dyDescent="0.25">
      <c r="A34" s="2">
        <v>27</v>
      </c>
      <c r="B34" s="2">
        <v>74.75</v>
      </c>
      <c r="C34" s="2">
        <v>0</v>
      </c>
      <c r="E34" s="2">
        <v>8</v>
      </c>
      <c r="F34" s="2">
        <v>5</v>
      </c>
      <c r="G34" s="2">
        <v>8</v>
      </c>
      <c r="H34" s="2">
        <v>10</v>
      </c>
      <c r="I34" s="2">
        <v>5.75</v>
      </c>
      <c r="J34" s="2">
        <v>0.61538461538461497</v>
      </c>
      <c r="K34" s="2">
        <v>5.7828365206749597</v>
      </c>
      <c r="L34" s="2">
        <v>0.9943217276577746</v>
      </c>
      <c r="M34" s="2">
        <v>0.10641570329447747</v>
      </c>
      <c r="N34" s="6"/>
      <c r="O34" s="2">
        <v>5</v>
      </c>
      <c r="P34" s="2">
        <v>11.5</v>
      </c>
      <c r="Q34" s="2">
        <v>0</v>
      </c>
      <c r="S34" s="3">
        <v>14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-0.99995660172192669</v>
      </c>
      <c r="AA34" s="2">
        <v>0.99997374604549361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0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0.7148340255851473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2">
        <v>0</v>
      </c>
      <c r="CD34" s="2">
        <v>0</v>
      </c>
      <c r="CE34" s="2">
        <v>0</v>
      </c>
      <c r="CF34" s="2">
        <v>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>
        <v>0</v>
      </c>
      <c r="CT34">
        <v>0</v>
      </c>
      <c r="CU34">
        <v>0</v>
      </c>
    </row>
    <row r="35" spans="1:99" x14ac:dyDescent="0.25">
      <c r="A35" s="2">
        <v>28</v>
      </c>
      <c r="B35" s="2">
        <v>80.5</v>
      </c>
      <c r="C35" s="2">
        <f>B3/1.2</f>
        <v>5</v>
      </c>
      <c r="E35" s="2">
        <v>8</v>
      </c>
      <c r="F35" s="2">
        <v>47</v>
      </c>
      <c r="G35" s="2">
        <v>8</v>
      </c>
      <c r="H35" s="2">
        <v>9</v>
      </c>
      <c r="I35" s="2">
        <v>0</v>
      </c>
      <c r="J35" s="2">
        <v>-4</v>
      </c>
      <c r="K35" s="2">
        <v>4</v>
      </c>
      <c r="L35" s="2">
        <v>0</v>
      </c>
      <c r="M35" s="2">
        <v>-1</v>
      </c>
      <c r="N35" s="6"/>
      <c r="O35" s="2">
        <v>7</v>
      </c>
      <c r="P35" s="2">
        <v>17.25</v>
      </c>
      <c r="Q35" s="2">
        <v>0</v>
      </c>
      <c r="S35" s="3">
        <v>14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-9.3163658545521565E-3</v>
      </c>
      <c r="AA35" s="2">
        <v>7.2461865655471065E-3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-1</v>
      </c>
      <c r="BU35" s="2">
        <v>-0.69929415546373108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2">
        <v>0</v>
      </c>
      <c r="CD35" s="2">
        <v>0</v>
      </c>
      <c r="CE35" s="2">
        <v>0</v>
      </c>
      <c r="CF35" s="2">
        <v>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>
        <v>0</v>
      </c>
      <c r="CT35">
        <v>0</v>
      </c>
      <c r="CU35">
        <v>0</v>
      </c>
    </row>
    <row r="36" spans="1:99" x14ac:dyDescent="0.25">
      <c r="A36" s="2">
        <v>29</v>
      </c>
      <c r="B36" s="2">
        <v>80.5</v>
      </c>
      <c r="C36" s="2">
        <v>0</v>
      </c>
      <c r="E36" s="2">
        <v>8</v>
      </c>
      <c r="F36" s="2">
        <v>48</v>
      </c>
      <c r="G36" s="2">
        <v>8</v>
      </c>
      <c r="H36" s="2">
        <v>11</v>
      </c>
      <c r="I36" s="2">
        <v>5.75</v>
      </c>
      <c r="J36" s="2">
        <v>-4</v>
      </c>
      <c r="K36" s="2">
        <v>7.00446286306095</v>
      </c>
      <c r="L36" s="2">
        <v>0.82090520178548709</v>
      </c>
      <c r="M36" s="2">
        <v>-0.57106448819859978</v>
      </c>
      <c r="N36" s="6"/>
      <c r="O36" s="2">
        <v>5</v>
      </c>
      <c r="P36" s="2">
        <v>11.5</v>
      </c>
      <c r="Q36" s="2">
        <v>0</v>
      </c>
      <c r="S36" s="3">
        <v>15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1</v>
      </c>
      <c r="BA36" s="2">
        <v>-1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-0.7181705560723638</v>
      </c>
      <c r="BT36" s="2">
        <v>0</v>
      </c>
      <c r="BU36" s="2">
        <v>0</v>
      </c>
      <c r="BV36" s="2">
        <v>0</v>
      </c>
      <c r="BW36" s="2">
        <v>0</v>
      </c>
      <c r="BX36" s="2">
        <v>0</v>
      </c>
      <c r="BY36" s="2">
        <v>0</v>
      </c>
      <c r="BZ36" s="2">
        <v>0</v>
      </c>
      <c r="CA36" s="2">
        <v>0</v>
      </c>
      <c r="CB36" s="2">
        <v>0</v>
      </c>
      <c r="CC36" s="2">
        <v>0</v>
      </c>
      <c r="CD36" s="2">
        <v>0</v>
      </c>
      <c r="CE36" s="2">
        <v>0</v>
      </c>
      <c r="CF36" s="2">
        <v>0</v>
      </c>
      <c r="CG36" s="2">
        <v>0</v>
      </c>
      <c r="CH36" s="2">
        <v>0</v>
      </c>
      <c r="CI36" s="2">
        <v>0</v>
      </c>
      <c r="CJ36" s="2">
        <v>0</v>
      </c>
      <c r="CK36" s="2">
        <v>0</v>
      </c>
      <c r="CL36" s="2">
        <v>0</v>
      </c>
      <c r="CM36" s="2">
        <v>0</v>
      </c>
      <c r="CN36" s="2">
        <v>0</v>
      </c>
      <c r="CO36" s="2">
        <v>0</v>
      </c>
      <c r="CP36" s="2">
        <v>0</v>
      </c>
      <c r="CQ36" s="2">
        <v>0</v>
      </c>
      <c r="CR36" s="2">
        <v>0</v>
      </c>
      <c r="CS36">
        <v>0</v>
      </c>
      <c r="CT36">
        <v>0</v>
      </c>
      <c r="CU36">
        <v>0</v>
      </c>
    </row>
    <row r="37" spans="1:99" x14ac:dyDescent="0.25">
      <c r="A37" s="2">
        <v>30</v>
      </c>
      <c r="B37" s="2">
        <v>86.25</v>
      </c>
      <c r="C37" s="2">
        <f>B3/1.3</f>
        <v>4.615384615384615</v>
      </c>
      <c r="E37" s="2">
        <v>9</v>
      </c>
      <c r="F37" s="2">
        <v>36</v>
      </c>
      <c r="G37" s="2">
        <v>9</v>
      </c>
      <c r="H37" s="2">
        <v>11</v>
      </c>
      <c r="I37" s="2">
        <v>5.75</v>
      </c>
      <c r="J37" s="2">
        <v>0</v>
      </c>
      <c r="K37" s="2">
        <v>5.75</v>
      </c>
      <c r="L37" s="2">
        <v>1</v>
      </c>
      <c r="M37" s="2">
        <v>0</v>
      </c>
      <c r="N37" s="6"/>
      <c r="O37" s="2">
        <v>3</v>
      </c>
      <c r="P37" s="2">
        <v>5.75</v>
      </c>
      <c r="Q37" s="2">
        <v>0</v>
      </c>
      <c r="S37" s="3">
        <v>15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0.69586712265396744</v>
      </c>
      <c r="BT37" s="2">
        <v>1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2">
        <v>0</v>
      </c>
      <c r="CC37" s="2">
        <v>0</v>
      </c>
      <c r="CD37" s="2">
        <v>0</v>
      </c>
      <c r="CE37" s="2">
        <v>0</v>
      </c>
      <c r="CF37" s="2">
        <v>0</v>
      </c>
      <c r="CG37" s="2">
        <v>0</v>
      </c>
      <c r="CH37" s="2">
        <v>0</v>
      </c>
      <c r="CI37" s="2">
        <v>0</v>
      </c>
      <c r="CJ37" s="2">
        <v>0</v>
      </c>
      <c r="CK37" s="2">
        <v>0</v>
      </c>
      <c r="CL37" s="2">
        <v>0</v>
      </c>
      <c r="CM37" s="2">
        <v>0</v>
      </c>
      <c r="CN37" s="2">
        <v>0</v>
      </c>
      <c r="CO37" s="2">
        <v>0</v>
      </c>
      <c r="CP37" s="2">
        <v>0</v>
      </c>
      <c r="CQ37" s="2">
        <v>0</v>
      </c>
      <c r="CR37" s="2">
        <v>0</v>
      </c>
      <c r="CS37">
        <v>0</v>
      </c>
      <c r="CT37">
        <v>0</v>
      </c>
      <c r="CU37">
        <v>0</v>
      </c>
    </row>
    <row r="38" spans="1:99" x14ac:dyDescent="0.25">
      <c r="A38" s="2">
        <v>31</v>
      </c>
      <c r="B38" s="2">
        <v>86.25</v>
      </c>
      <c r="C38" s="2">
        <v>0</v>
      </c>
      <c r="E38" s="2">
        <v>9</v>
      </c>
      <c r="F38" s="2">
        <v>37</v>
      </c>
      <c r="G38" s="2">
        <v>9</v>
      </c>
      <c r="H38" s="2">
        <v>7</v>
      </c>
      <c r="I38" s="2">
        <v>-5.75</v>
      </c>
      <c r="J38" s="2">
        <v>0</v>
      </c>
      <c r="K38" s="2">
        <v>5.75</v>
      </c>
      <c r="L38" s="2">
        <v>-1</v>
      </c>
      <c r="M38" s="2">
        <v>0</v>
      </c>
      <c r="N38" s="6"/>
      <c r="O38" s="2">
        <v>5</v>
      </c>
      <c r="P38" s="2">
        <v>11.5</v>
      </c>
      <c r="Q38" s="2">
        <v>0</v>
      </c>
      <c r="S38" s="3">
        <v>16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-0.99997374604549361</v>
      </c>
      <c r="AB38" s="2">
        <v>0.99998319723090257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0</v>
      </c>
      <c r="BT38" s="2">
        <v>0</v>
      </c>
      <c r="BU38" s="2">
        <v>0</v>
      </c>
      <c r="BV38" s="2">
        <v>0</v>
      </c>
      <c r="BW38" s="2">
        <v>0.71224917072145033</v>
      </c>
      <c r="BX38" s="2">
        <v>0</v>
      </c>
      <c r="BY38" s="2">
        <v>0</v>
      </c>
      <c r="BZ38" s="2">
        <v>0</v>
      </c>
      <c r="CA38" s="2">
        <v>0</v>
      </c>
      <c r="CB38" s="2">
        <v>0</v>
      </c>
      <c r="CC38" s="2">
        <v>0</v>
      </c>
      <c r="CD38" s="2">
        <v>0</v>
      </c>
      <c r="CE38" s="2">
        <v>0</v>
      </c>
      <c r="CF38" s="2">
        <v>0</v>
      </c>
      <c r="CG38" s="2">
        <v>0</v>
      </c>
      <c r="CH38" s="2">
        <v>0</v>
      </c>
      <c r="CI38" s="2">
        <v>0</v>
      </c>
      <c r="CJ38" s="2">
        <v>0</v>
      </c>
      <c r="CK38" s="2">
        <v>0</v>
      </c>
      <c r="CL38" s="2">
        <v>0</v>
      </c>
      <c r="CM38" s="2">
        <v>0</v>
      </c>
      <c r="CN38" s="2">
        <v>0</v>
      </c>
      <c r="CO38" s="2">
        <v>0</v>
      </c>
      <c r="CP38" s="2">
        <v>0</v>
      </c>
      <c r="CQ38" s="2">
        <v>0</v>
      </c>
      <c r="CR38" s="2">
        <v>0</v>
      </c>
      <c r="CS38">
        <v>0</v>
      </c>
      <c r="CT38">
        <v>0</v>
      </c>
      <c r="CU38">
        <v>0</v>
      </c>
    </row>
    <row r="39" spans="1:99" x14ac:dyDescent="0.25">
      <c r="A39" s="2">
        <v>32</v>
      </c>
      <c r="B39" s="2">
        <v>92</v>
      </c>
      <c r="C39" s="2">
        <f>B3/1.5</f>
        <v>4</v>
      </c>
      <c r="E39" s="2">
        <v>9</v>
      </c>
      <c r="F39" s="2">
        <v>46</v>
      </c>
      <c r="G39" s="2">
        <v>9</v>
      </c>
      <c r="H39" s="2">
        <v>6</v>
      </c>
      <c r="I39" s="2">
        <v>-5.75</v>
      </c>
      <c r="J39" s="2">
        <v>3.225806451612903</v>
      </c>
      <c r="K39" s="2">
        <v>6.5930514379358076</v>
      </c>
      <c r="L39" s="2">
        <v>-0.87213031084742221</v>
      </c>
      <c r="M39" s="2">
        <v>0.48927366667457062</v>
      </c>
      <c r="N39" s="6"/>
      <c r="O39" s="2">
        <v>2</v>
      </c>
      <c r="P39" s="2">
        <v>5.75</v>
      </c>
      <c r="Q39" s="2">
        <v>1.3333333333333333</v>
      </c>
      <c r="S39" s="3">
        <v>16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-7.2461865655471065E-3</v>
      </c>
      <c r="AB39" s="2">
        <v>5.797004041918255E-3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2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-1</v>
      </c>
      <c r="BW39" s="2">
        <v>-0.70192671897186409</v>
      </c>
      <c r="BX39" s="2">
        <v>0</v>
      </c>
      <c r="BY39" s="2">
        <v>0</v>
      </c>
      <c r="BZ39" s="2">
        <v>0</v>
      </c>
      <c r="CA39" s="2">
        <v>0</v>
      </c>
      <c r="CB39" s="2">
        <v>0</v>
      </c>
      <c r="CC39" s="2">
        <v>0</v>
      </c>
      <c r="CD39" s="2">
        <v>0</v>
      </c>
      <c r="CE39" s="2">
        <v>0</v>
      </c>
      <c r="CF39" s="2">
        <v>0</v>
      </c>
      <c r="CG39" s="2">
        <v>0</v>
      </c>
      <c r="CH39" s="2">
        <v>0</v>
      </c>
      <c r="CI39" s="2">
        <v>0</v>
      </c>
      <c r="CJ39" s="2">
        <v>0</v>
      </c>
      <c r="CK39" s="2">
        <v>0</v>
      </c>
      <c r="CL39" s="2">
        <v>0</v>
      </c>
      <c r="CM39" s="2">
        <v>0</v>
      </c>
      <c r="CN39" s="2">
        <v>0</v>
      </c>
      <c r="CO39" s="2">
        <v>0</v>
      </c>
      <c r="CP39" s="2">
        <v>0</v>
      </c>
      <c r="CQ39" s="2">
        <v>0</v>
      </c>
      <c r="CR39" s="2">
        <v>0</v>
      </c>
      <c r="CS39">
        <v>0</v>
      </c>
      <c r="CT39">
        <v>0</v>
      </c>
      <c r="CU39">
        <v>0</v>
      </c>
    </row>
    <row r="40" spans="1:99" x14ac:dyDescent="0.25">
      <c r="A40" s="2">
        <v>33</v>
      </c>
      <c r="B40" s="2">
        <v>92</v>
      </c>
      <c r="C40" s="2">
        <v>0</v>
      </c>
      <c r="E40" s="2">
        <v>9</v>
      </c>
      <c r="F40" s="2">
        <v>47</v>
      </c>
      <c r="G40" s="2">
        <v>9</v>
      </c>
      <c r="H40" s="2">
        <v>8</v>
      </c>
      <c r="I40" s="2">
        <v>0</v>
      </c>
      <c r="J40" s="2">
        <v>4</v>
      </c>
      <c r="K40" s="2">
        <v>4</v>
      </c>
      <c r="L40" s="2">
        <v>0</v>
      </c>
      <c r="M40" s="2">
        <v>1</v>
      </c>
      <c r="N40" s="6"/>
      <c r="O40" s="2">
        <v>5</v>
      </c>
      <c r="P40" s="2">
        <v>11.5</v>
      </c>
      <c r="Q40" s="2">
        <v>0</v>
      </c>
      <c r="S40" s="3">
        <v>17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1</v>
      </c>
      <c r="AZ40" s="2">
        <v>-1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2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-0.7148340255851473</v>
      </c>
      <c r="BV40" s="2">
        <v>0</v>
      </c>
      <c r="BW40" s="2">
        <v>0</v>
      </c>
      <c r="BX40" s="2">
        <v>0</v>
      </c>
      <c r="BY40" s="2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2">
        <v>0</v>
      </c>
      <c r="CJ40" s="2">
        <v>0</v>
      </c>
      <c r="CK40" s="2">
        <v>0</v>
      </c>
      <c r="CL40" s="2">
        <v>0</v>
      </c>
      <c r="CM40" s="2">
        <v>0</v>
      </c>
      <c r="CN40" s="2">
        <v>0</v>
      </c>
      <c r="CO40" s="2">
        <v>0</v>
      </c>
      <c r="CP40" s="2">
        <v>0</v>
      </c>
      <c r="CQ40" s="2">
        <v>0</v>
      </c>
      <c r="CR40" s="2">
        <v>0</v>
      </c>
      <c r="CS40">
        <v>0</v>
      </c>
      <c r="CT40">
        <v>0</v>
      </c>
      <c r="CU40">
        <v>0</v>
      </c>
    </row>
    <row r="41" spans="1:99" x14ac:dyDescent="0.25">
      <c r="A41" s="2">
        <v>34</v>
      </c>
      <c r="B41" s="2">
        <v>97.75</v>
      </c>
      <c r="C41" s="2">
        <f>B3/1.86</f>
        <v>3.225806451612903</v>
      </c>
      <c r="E41" s="2">
        <v>10</v>
      </c>
      <c r="F41" s="2">
        <v>5</v>
      </c>
      <c r="G41" s="2">
        <v>10</v>
      </c>
      <c r="H41" s="2">
        <v>8</v>
      </c>
      <c r="I41" s="2">
        <v>-5.75</v>
      </c>
      <c r="J41" s="2">
        <v>-0.61538461538461497</v>
      </c>
      <c r="K41" s="2">
        <v>5.7828365206749597</v>
      </c>
      <c r="L41" s="2">
        <v>-0.9943217276577746</v>
      </c>
      <c r="M41" s="2">
        <v>-0.10641570329447747</v>
      </c>
      <c r="N41" s="6"/>
      <c r="O41" s="2">
        <v>4</v>
      </c>
      <c r="P41" s="2">
        <v>11.5</v>
      </c>
      <c r="Q41" s="2">
        <v>2.3076923076923075</v>
      </c>
      <c r="S41" s="3">
        <v>17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0.69929415546373108</v>
      </c>
      <c r="BV41" s="2">
        <v>1</v>
      </c>
      <c r="BW41" s="2">
        <v>0</v>
      </c>
      <c r="BX41" s="2">
        <v>0</v>
      </c>
      <c r="BY41" s="2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2">
        <v>0</v>
      </c>
      <c r="CJ41" s="2">
        <v>0</v>
      </c>
      <c r="CK41" s="2">
        <v>0</v>
      </c>
      <c r="CL41" s="2">
        <v>0</v>
      </c>
      <c r="CM41" s="2">
        <v>0</v>
      </c>
      <c r="CN41" s="2">
        <v>0</v>
      </c>
      <c r="CO41" s="2">
        <v>0</v>
      </c>
      <c r="CP41" s="2">
        <v>0</v>
      </c>
      <c r="CQ41" s="2">
        <v>0</v>
      </c>
      <c r="CR41" s="2">
        <v>0</v>
      </c>
      <c r="CS41">
        <v>0</v>
      </c>
      <c r="CT41">
        <v>0</v>
      </c>
      <c r="CU41">
        <v>0</v>
      </c>
    </row>
    <row r="42" spans="1:99" x14ac:dyDescent="0.25">
      <c r="A42" s="2">
        <v>35</v>
      </c>
      <c r="B42" s="2">
        <v>97.75</v>
      </c>
      <c r="C42" s="2">
        <v>0</v>
      </c>
      <c r="E42" s="2">
        <v>10</v>
      </c>
      <c r="F42" s="2">
        <v>6</v>
      </c>
      <c r="G42" s="2">
        <v>10</v>
      </c>
      <c r="H42" s="2">
        <v>12</v>
      </c>
      <c r="I42" s="2">
        <v>5.75</v>
      </c>
      <c r="J42" s="2">
        <v>0.38461538461538503</v>
      </c>
      <c r="K42" s="2">
        <v>5.7628490344692214</v>
      </c>
      <c r="L42" s="2">
        <v>0.99777036767883942</v>
      </c>
      <c r="M42" s="2">
        <v>6.674049282132713E-2</v>
      </c>
      <c r="N42" s="6"/>
      <c r="O42" s="2">
        <v>6</v>
      </c>
      <c r="P42" s="2">
        <v>17.25</v>
      </c>
      <c r="Q42" s="2">
        <v>3.225806451612903</v>
      </c>
      <c r="S42" s="3">
        <v>18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-0.99998319723090257</v>
      </c>
      <c r="AC42" s="2">
        <v>0.99864171383127986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2">
        <v>0.71018781245365348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2">
        <v>0</v>
      </c>
      <c r="CJ42" s="2">
        <v>0</v>
      </c>
      <c r="CK42" s="2">
        <v>0</v>
      </c>
      <c r="CL42" s="2">
        <v>0</v>
      </c>
      <c r="CM42" s="2">
        <v>0</v>
      </c>
      <c r="CN42" s="2">
        <v>0</v>
      </c>
      <c r="CO42" s="2">
        <v>0</v>
      </c>
      <c r="CP42" s="2">
        <v>0</v>
      </c>
      <c r="CQ42" s="2">
        <v>0</v>
      </c>
      <c r="CR42" s="2">
        <v>0</v>
      </c>
      <c r="CS42">
        <v>0</v>
      </c>
      <c r="CT42">
        <v>0</v>
      </c>
      <c r="CU42">
        <v>0</v>
      </c>
    </row>
    <row r="43" spans="1:99" x14ac:dyDescent="0.25">
      <c r="A43" s="2">
        <v>36</v>
      </c>
      <c r="B43" s="2">
        <v>103.5</v>
      </c>
      <c r="C43" s="2">
        <f>B3/2.6</f>
        <v>2.3076923076923075</v>
      </c>
      <c r="E43" s="2">
        <v>10</v>
      </c>
      <c r="F43" s="2">
        <v>49</v>
      </c>
      <c r="G43" s="2">
        <v>10</v>
      </c>
      <c r="H43" s="2">
        <v>11</v>
      </c>
      <c r="I43" s="2">
        <v>0</v>
      </c>
      <c r="J43" s="2">
        <v>-4.615384615384615</v>
      </c>
      <c r="K43" s="2">
        <v>4.615384615384615</v>
      </c>
      <c r="L43" s="2">
        <v>0</v>
      </c>
      <c r="M43" s="2">
        <v>-1</v>
      </c>
      <c r="N43" s="6"/>
      <c r="O43" s="2">
        <v>4</v>
      </c>
      <c r="P43" s="2">
        <v>11.5</v>
      </c>
      <c r="Q43" s="2">
        <v>2.3076923076923075</v>
      </c>
      <c r="S43" s="3">
        <v>18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-5.797004041918255E-3</v>
      </c>
      <c r="AC43" s="2">
        <v>5.2103045939023269E-2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-1</v>
      </c>
      <c r="BY43" s="2">
        <v>-0.7040122662584043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2">
        <v>0</v>
      </c>
      <c r="CJ43" s="2">
        <v>0</v>
      </c>
      <c r="CK43" s="2">
        <v>0</v>
      </c>
      <c r="CL43" s="2">
        <v>0</v>
      </c>
      <c r="CM43" s="2">
        <v>0</v>
      </c>
      <c r="CN43" s="2">
        <v>0</v>
      </c>
      <c r="CO43" s="2">
        <v>0</v>
      </c>
      <c r="CP43" s="2">
        <v>0</v>
      </c>
      <c r="CQ43" s="2">
        <v>0</v>
      </c>
      <c r="CR43" s="2">
        <v>0</v>
      </c>
      <c r="CS43">
        <v>0</v>
      </c>
      <c r="CT43">
        <v>0</v>
      </c>
      <c r="CU43">
        <v>0</v>
      </c>
    </row>
    <row r="44" spans="1:99" x14ac:dyDescent="0.25">
      <c r="A44" s="2">
        <v>37</v>
      </c>
      <c r="B44" s="2">
        <v>103.5</v>
      </c>
      <c r="C44" s="2">
        <v>0</v>
      </c>
      <c r="E44" s="2">
        <v>10</v>
      </c>
      <c r="F44" s="2">
        <v>50</v>
      </c>
      <c r="G44" s="2">
        <v>10</v>
      </c>
      <c r="H44" s="2">
        <v>13</v>
      </c>
      <c r="I44" s="2">
        <v>5.75</v>
      </c>
      <c r="J44" s="2">
        <v>-4.615384615384615</v>
      </c>
      <c r="K44" s="2">
        <v>7.3732133529370349</v>
      </c>
      <c r="L44" s="2">
        <v>0.77984994123485574</v>
      </c>
      <c r="M44" s="2">
        <v>-0.62596650801459985</v>
      </c>
      <c r="N44" s="6"/>
      <c r="O44" s="2">
        <v>6</v>
      </c>
      <c r="P44" s="2">
        <v>17.25</v>
      </c>
      <c r="Q44" s="2">
        <v>3.225806451612903</v>
      </c>
      <c r="S44" s="3">
        <v>19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 s="2">
        <v>-1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-0.71224917072145033</v>
      </c>
      <c r="BX44" s="2">
        <v>0</v>
      </c>
      <c r="BY44" s="2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2">
        <v>0</v>
      </c>
      <c r="CJ44" s="2">
        <v>0</v>
      </c>
      <c r="CK44" s="2">
        <v>0</v>
      </c>
      <c r="CL44" s="2">
        <v>0</v>
      </c>
      <c r="CM44" s="2">
        <v>0</v>
      </c>
      <c r="CN44" s="2">
        <v>0</v>
      </c>
      <c r="CO44" s="2">
        <v>0</v>
      </c>
      <c r="CP44" s="2">
        <v>0</v>
      </c>
      <c r="CQ44" s="2">
        <v>0</v>
      </c>
      <c r="CR44" s="2">
        <v>0</v>
      </c>
      <c r="CS44">
        <v>0</v>
      </c>
      <c r="CT44">
        <v>0</v>
      </c>
      <c r="CU44">
        <v>0</v>
      </c>
    </row>
    <row r="45" spans="1:99" x14ac:dyDescent="0.25">
      <c r="A45" s="2">
        <v>38</v>
      </c>
      <c r="B45" s="2">
        <v>109.25</v>
      </c>
      <c r="C45" s="2">
        <f>B3/4.5</f>
        <v>1.3333333333333333</v>
      </c>
      <c r="E45" s="2">
        <v>11</v>
      </c>
      <c r="F45" s="2">
        <v>35</v>
      </c>
      <c r="G45" s="2">
        <v>11</v>
      </c>
      <c r="H45" s="2">
        <v>13</v>
      </c>
      <c r="I45" s="2">
        <v>5.75</v>
      </c>
      <c r="J45" s="2">
        <v>0</v>
      </c>
      <c r="K45" s="2">
        <v>5.75</v>
      </c>
      <c r="L45" s="2">
        <v>1</v>
      </c>
      <c r="M45" s="2">
        <v>0</v>
      </c>
      <c r="N45" s="6"/>
      <c r="O45" s="2">
        <v>8</v>
      </c>
      <c r="P45" s="2">
        <v>23</v>
      </c>
      <c r="Q45" s="2">
        <v>4</v>
      </c>
      <c r="S45" s="3">
        <v>19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0.70192671897186409</v>
      </c>
      <c r="BX45" s="2">
        <v>1</v>
      </c>
      <c r="BY45" s="2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2">
        <v>0</v>
      </c>
      <c r="CJ45" s="2">
        <v>0</v>
      </c>
      <c r="CK45" s="2">
        <v>0</v>
      </c>
      <c r="CL45" s="2">
        <v>0</v>
      </c>
      <c r="CM45" s="2">
        <v>0</v>
      </c>
      <c r="CN45" s="2">
        <v>0</v>
      </c>
      <c r="CO45" s="2">
        <v>0</v>
      </c>
      <c r="CP45" s="2">
        <v>0</v>
      </c>
      <c r="CQ45" s="2">
        <v>0</v>
      </c>
      <c r="CR45" s="2">
        <v>0</v>
      </c>
      <c r="CS45">
        <v>0</v>
      </c>
      <c r="CT45">
        <v>0</v>
      </c>
      <c r="CU45">
        <v>0</v>
      </c>
    </row>
    <row r="46" spans="1:99" x14ac:dyDescent="0.25">
      <c r="A46" s="2">
        <v>39</v>
      </c>
      <c r="B46" s="2">
        <v>109.25</v>
      </c>
      <c r="C46" s="2">
        <v>0</v>
      </c>
      <c r="E46" s="2">
        <v>11</v>
      </c>
      <c r="F46" s="2">
        <v>36</v>
      </c>
      <c r="G46" s="2">
        <v>11</v>
      </c>
      <c r="H46" s="2">
        <v>9</v>
      </c>
      <c r="I46" s="2">
        <v>-5.75</v>
      </c>
      <c r="J46" s="2">
        <v>0</v>
      </c>
      <c r="K46" s="2">
        <v>5.75</v>
      </c>
      <c r="L46" s="2">
        <v>-1</v>
      </c>
      <c r="M46" s="2">
        <v>0</v>
      </c>
      <c r="N46" s="6"/>
      <c r="O46" s="2">
        <v>6</v>
      </c>
      <c r="P46" s="2">
        <v>17.25</v>
      </c>
      <c r="Q46" s="2">
        <v>3.225806451612903</v>
      </c>
      <c r="S46" s="3">
        <v>20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-0.99864171383127986</v>
      </c>
      <c r="AD46" s="2">
        <v>0.99864171383127986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2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2">
        <v>0</v>
      </c>
      <c r="BY46" s="2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2">
        <v>0</v>
      </c>
      <c r="CJ46" s="2">
        <v>0</v>
      </c>
      <c r="CK46" s="2">
        <v>0</v>
      </c>
      <c r="CL46" s="2">
        <v>0</v>
      </c>
      <c r="CM46" s="2">
        <v>0</v>
      </c>
      <c r="CN46" s="2">
        <v>0</v>
      </c>
      <c r="CO46" s="2">
        <v>0</v>
      </c>
      <c r="CP46" s="2">
        <v>0</v>
      </c>
      <c r="CQ46" s="2">
        <v>0</v>
      </c>
      <c r="CR46" s="2">
        <v>0</v>
      </c>
      <c r="CS46">
        <v>0</v>
      </c>
      <c r="CT46">
        <v>0</v>
      </c>
      <c r="CU46">
        <v>0</v>
      </c>
    </row>
    <row r="47" spans="1:99" x14ac:dyDescent="0.25">
      <c r="A47" s="2">
        <v>40</v>
      </c>
      <c r="B47" s="2">
        <v>115</v>
      </c>
      <c r="C47" s="2">
        <v>0</v>
      </c>
      <c r="E47" s="2">
        <v>11</v>
      </c>
      <c r="F47" s="2">
        <v>48</v>
      </c>
      <c r="G47" s="2">
        <v>11</v>
      </c>
      <c r="H47" s="2">
        <v>8</v>
      </c>
      <c r="I47" s="2">
        <v>-5.75</v>
      </c>
      <c r="J47" s="2">
        <v>4</v>
      </c>
      <c r="K47" s="2">
        <v>7.00446286306095</v>
      </c>
      <c r="L47" s="2">
        <v>-0.82090520178548709</v>
      </c>
      <c r="M47" s="2">
        <v>0.57106448819859978</v>
      </c>
      <c r="N47" s="6"/>
      <c r="O47" s="2">
        <v>7</v>
      </c>
      <c r="P47" s="2">
        <v>17.25</v>
      </c>
      <c r="Q47" s="2">
        <v>0</v>
      </c>
      <c r="S47" s="3">
        <v>20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-5.2103045939023269E-2</v>
      </c>
      <c r="AD47" s="2">
        <v>-5.2103045939023269E-2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2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-1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2">
        <v>0</v>
      </c>
      <c r="CI47" s="2">
        <v>0</v>
      </c>
      <c r="CJ47" s="2">
        <v>0</v>
      </c>
      <c r="CK47" s="2">
        <v>0</v>
      </c>
      <c r="CL47" s="2">
        <v>0</v>
      </c>
      <c r="CM47" s="2">
        <v>0</v>
      </c>
      <c r="CN47" s="2">
        <v>0</v>
      </c>
      <c r="CO47" s="2">
        <v>0</v>
      </c>
      <c r="CP47" s="2">
        <v>0</v>
      </c>
      <c r="CQ47" s="2">
        <v>0</v>
      </c>
      <c r="CR47" s="2">
        <v>0</v>
      </c>
      <c r="CS47">
        <v>0</v>
      </c>
      <c r="CT47">
        <v>0</v>
      </c>
      <c r="CU47">
        <v>0</v>
      </c>
    </row>
    <row r="48" spans="1:99" x14ac:dyDescent="0.25">
      <c r="E48" s="2">
        <v>11</v>
      </c>
      <c r="F48" s="2">
        <v>49</v>
      </c>
      <c r="G48" s="2">
        <v>11</v>
      </c>
      <c r="H48" s="2">
        <v>10</v>
      </c>
      <c r="I48" s="2">
        <v>0</v>
      </c>
      <c r="J48" s="2">
        <v>4.615384615384615</v>
      </c>
      <c r="K48" s="2">
        <v>4.615384615384615</v>
      </c>
      <c r="L48" s="2">
        <v>0</v>
      </c>
      <c r="M48" s="2">
        <v>1</v>
      </c>
      <c r="N48" s="6"/>
      <c r="O48" s="2">
        <v>6</v>
      </c>
      <c r="P48" s="2">
        <v>17.25</v>
      </c>
      <c r="Q48" s="2">
        <v>3.225806451612903</v>
      </c>
      <c r="S48" s="3">
        <v>21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1</v>
      </c>
      <c r="AX48" s="2">
        <v>-1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2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2">
        <v>0</v>
      </c>
      <c r="BY48" s="2">
        <v>-0.71018781245365348</v>
      </c>
      <c r="BZ48" s="2">
        <v>0</v>
      </c>
      <c r="CA48" s="2">
        <v>0.71018781245365348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2">
        <v>0</v>
      </c>
      <c r="CI48" s="2">
        <v>0</v>
      </c>
      <c r="CJ48" s="2">
        <v>0</v>
      </c>
      <c r="CK48" s="2">
        <v>0</v>
      </c>
      <c r="CL48" s="2">
        <v>0</v>
      </c>
      <c r="CM48" s="2">
        <v>0</v>
      </c>
      <c r="CN48" s="2">
        <v>0</v>
      </c>
      <c r="CO48" s="2">
        <v>0</v>
      </c>
      <c r="CP48" s="2">
        <v>0</v>
      </c>
      <c r="CQ48" s="2">
        <v>0</v>
      </c>
      <c r="CR48" s="2">
        <v>0</v>
      </c>
      <c r="CS48">
        <v>0</v>
      </c>
      <c r="CT48">
        <v>0</v>
      </c>
      <c r="CU48">
        <v>0</v>
      </c>
    </row>
    <row r="49" spans="5:99" x14ac:dyDescent="0.25">
      <c r="E49" s="2">
        <v>12</v>
      </c>
      <c r="F49" s="2">
        <v>6</v>
      </c>
      <c r="G49" s="2">
        <v>12</v>
      </c>
      <c r="H49" s="2">
        <v>10</v>
      </c>
      <c r="I49" s="2">
        <v>-5.75</v>
      </c>
      <c r="J49" s="2">
        <v>-0.38461538461538503</v>
      </c>
      <c r="K49" s="2">
        <v>5.7628490344692214</v>
      </c>
      <c r="L49" s="2">
        <v>-0.99777036767883942</v>
      </c>
      <c r="M49" s="2">
        <v>-6.674049282132713E-2</v>
      </c>
      <c r="N49" s="6"/>
      <c r="O49" s="2">
        <v>9</v>
      </c>
      <c r="P49" s="2">
        <v>23</v>
      </c>
      <c r="Q49" s="2">
        <v>0</v>
      </c>
      <c r="S49" s="3">
        <v>21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2">
        <v>0</v>
      </c>
      <c r="BY49" s="2">
        <v>0.7040122662584043</v>
      </c>
      <c r="BZ49" s="2">
        <v>1</v>
      </c>
      <c r="CA49" s="2">
        <v>0.7040122662584043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2">
        <v>0</v>
      </c>
      <c r="CI49" s="2">
        <v>0</v>
      </c>
      <c r="CJ49" s="2">
        <v>0</v>
      </c>
      <c r="CK49" s="2">
        <v>0</v>
      </c>
      <c r="CL49" s="2">
        <v>0</v>
      </c>
      <c r="CM49" s="2">
        <v>0</v>
      </c>
      <c r="CN49" s="2">
        <v>0</v>
      </c>
      <c r="CO49" s="2">
        <v>0</v>
      </c>
      <c r="CP49" s="2">
        <v>0</v>
      </c>
      <c r="CQ49" s="2">
        <v>0</v>
      </c>
      <c r="CR49" s="2">
        <v>0</v>
      </c>
      <c r="CS49">
        <v>0</v>
      </c>
      <c r="CT49">
        <v>0</v>
      </c>
      <c r="CU49">
        <v>0</v>
      </c>
    </row>
    <row r="50" spans="5:99" x14ac:dyDescent="0.25">
      <c r="E50" s="2">
        <v>12</v>
      </c>
      <c r="F50" s="2">
        <v>7</v>
      </c>
      <c r="G50" s="2">
        <v>12</v>
      </c>
      <c r="H50" s="2">
        <v>14</v>
      </c>
      <c r="I50" s="2">
        <v>5.75</v>
      </c>
      <c r="J50" s="2">
        <v>0.35714285714285676</v>
      </c>
      <c r="K50" s="2">
        <v>5.7610807163594018</v>
      </c>
      <c r="L50" s="2">
        <v>0.99807662539288222</v>
      </c>
      <c r="M50" s="2">
        <v>6.1992336980924295E-2</v>
      </c>
      <c r="N50" s="6"/>
      <c r="O50" s="2">
        <v>7</v>
      </c>
      <c r="P50" s="2">
        <v>17.25</v>
      </c>
      <c r="Q50" s="2">
        <v>0</v>
      </c>
      <c r="S50" s="3">
        <v>22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-0.99864171383127986</v>
      </c>
      <c r="AE50" s="2">
        <v>0.99998319723090257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2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-0.71018781245365348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2">
        <v>0</v>
      </c>
      <c r="CI50" s="2">
        <v>0</v>
      </c>
      <c r="CJ50" s="2">
        <v>0</v>
      </c>
      <c r="CK50" s="2">
        <v>0</v>
      </c>
      <c r="CL50" s="2">
        <v>0</v>
      </c>
      <c r="CM50" s="2">
        <v>0</v>
      </c>
      <c r="CN50" s="2">
        <v>0</v>
      </c>
      <c r="CO50" s="2">
        <v>0</v>
      </c>
      <c r="CP50" s="2">
        <v>0</v>
      </c>
      <c r="CQ50" s="2">
        <v>0</v>
      </c>
      <c r="CR50" s="2">
        <v>0</v>
      </c>
      <c r="CS50">
        <v>0</v>
      </c>
      <c r="CT50">
        <v>0</v>
      </c>
      <c r="CU50">
        <v>0</v>
      </c>
    </row>
    <row r="51" spans="5:99" x14ac:dyDescent="0.25">
      <c r="E51" s="2">
        <v>12</v>
      </c>
      <c r="F51" s="2">
        <v>51</v>
      </c>
      <c r="G51" s="2">
        <v>12</v>
      </c>
      <c r="H51" s="2">
        <v>13</v>
      </c>
      <c r="I51" s="2">
        <v>0</v>
      </c>
      <c r="J51" s="2">
        <v>-5</v>
      </c>
      <c r="K51" s="2">
        <v>5</v>
      </c>
      <c r="L51" s="2">
        <v>0</v>
      </c>
      <c r="M51" s="2">
        <v>-1</v>
      </c>
      <c r="N51" s="6"/>
      <c r="O51" s="2">
        <v>9</v>
      </c>
      <c r="P51" s="2">
        <v>23</v>
      </c>
      <c r="Q51" s="2">
        <v>0</v>
      </c>
      <c r="S51" s="3">
        <v>22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5.2103045939023269E-2</v>
      </c>
      <c r="AE51" s="2">
        <v>-5.797004041918255E-3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2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2">
        <v>0</v>
      </c>
      <c r="BX51" s="2">
        <v>0</v>
      </c>
      <c r="BY51" s="2">
        <v>0</v>
      </c>
      <c r="BZ51" s="2">
        <v>0</v>
      </c>
      <c r="CA51" s="2">
        <v>-0.7040122662584043</v>
      </c>
      <c r="CB51" s="2">
        <v>-1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2">
        <v>0</v>
      </c>
      <c r="CI51" s="2">
        <v>0</v>
      </c>
      <c r="CJ51" s="2">
        <v>0</v>
      </c>
      <c r="CK51" s="2">
        <v>0</v>
      </c>
      <c r="CL51" s="2">
        <v>0</v>
      </c>
      <c r="CM51" s="2">
        <v>0</v>
      </c>
      <c r="CN51" s="2">
        <v>0</v>
      </c>
      <c r="CO51" s="2">
        <v>0</v>
      </c>
      <c r="CP51" s="2">
        <v>0</v>
      </c>
      <c r="CQ51" s="2">
        <v>0</v>
      </c>
      <c r="CR51" s="2">
        <v>0</v>
      </c>
      <c r="CS51">
        <v>0</v>
      </c>
      <c r="CT51">
        <v>0</v>
      </c>
      <c r="CU51">
        <v>0</v>
      </c>
    </row>
    <row r="52" spans="5:99" x14ac:dyDescent="0.25">
      <c r="E52" s="2">
        <v>12</v>
      </c>
      <c r="F52" s="2">
        <v>52</v>
      </c>
      <c r="G52" s="2">
        <v>12</v>
      </c>
      <c r="H52" s="2">
        <v>15</v>
      </c>
      <c r="I52" s="2">
        <v>5.75</v>
      </c>
      <c r="J52" s="2">
        <v>-5</v>
      </c>
      <c r="K52" s="2">
        <v>7.6198753270640855</v>
      </c>
      <c r="L52" s="2">
        <v>0.75460552216350463</v>
      </c>
      <c r="M52" s="2">
        <v>-0.65617871492478663</v>
      </c>
      <c r="N52" s="6"/>
      <c r="O52" s="2">
        <v>7</v>
      </c>
      <c r="P52" s="2">
        <v>17.25</v>
      </c>
      <c r="Q52" s="2">
        <v>0</v>
      </c>
      <c r="S52" s="3">
        <v>23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1</v>
      </c>
      <c r="AW52" s="2">
        <v>-1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0.71224917072145033</v>
      </c>
      <c r="CD52" s="2">
        <v>0</v>
      </c>
      <c r="CE52" s="2">
        <v>0</v>
      </c>
      <c r="CF52" s="2">
        <v>0</v>
      </c>
      <c r="CG52" s="2">
        <v>0</v>
      </c>
      <c r="CH52" s="2">
        <v>0</v>
      </c>
      <c r="CI52" s="2">
        <v>0</v>
      </c>
      <c r="CJ52" s="2">
        <v>0</v>
      </c>
      <c r="CK52" s="2">
        <v>0</v>
      </c>
      <c r="CL52" s="2">
        <v>0</v>
      </c>
      <c r="CM52" s="2">
        <v>0</v>
      </c>
      <c r="CN52" s="2">
        <v>0</v>
      </c>
      <c r="CO52" s="2">
        <v>0</v>
      </c>
      <c r="CP52" s="2">
        <v>0</v>
      </c>
      <c r="CQ52" s="2">
        <v>0</v>
      </c>
      <c r="CR52" s="2">
        <v>0</v>
      </c>
      <c r="CS52">
        <v>0</v>
      </c>
      <c r="CT52">
        <v>0</v>
      </c>
      <c r="CU52">
        <v>0</v>
      </c>
    </row>
    <row r="53" spans="5:99" x14ac:dyDescent="0.25">
      <c r="E53" s="2">
        <v>13</v>
      </c>
      <c r="F53" s="2">
        <v>34</v>
      </c>
      <c r="G53" s="2">
        <v>13</v>
      </c>
      <c r="H53" s="2">
        <v>15</v>
      </c>
      <c r="I53" s="2">
        <v>5.75</v>
      </c>
      <c r="J53" s="2">
        <v>0</v>
      </c>
      <c r="K53" s="2">
        <v>5.75</v>
      </c>
      <c r="L53" s="2">
        <v>1</v>
      </c>
      <c r="M53" s="2">
        <v>0</v>
      </c>
      <c r="N53" s="6"/>
      <c r="O53" s="2">
        <v>5</v>
      </c>
      <c r="P53" s="2">
        <v>11.5</v>
      </c>
      <c r="Q53" s="2">
        <v>0</v>
      </c>
      <c r="S53" s="3">
        <v>23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2">
        <v>1</v>
      </c>
      <c r="CC53" s="2">
        <v>0.70192671897186409</v>
      </c>
      <c r="CD53" s="2">
        <v>0</v>
      </c>
      <c r="CE53" s="2">
        <v>0</v>
      </c>
      <c r="CF53" s="2">
        <v>0</v>
      </c>
      <c r="CG53" s="2">
        <v>0</v>
      </c>
      <c r="CH53" s="2">
        <v>0</v>
      </c>
      <c r="CI53" s="2">
        <v>0</v>
      </c>
      <c r="CJ53" s="2">
        <v>0</v>
      </c>
      <c r="CK53" s="2">
        <v>0</v>
      </c>
      <c r="CL53" s="2">
        <v>0</v>
      </c>
      <c r="CM53" s="2">
        <v>0</v>
      </c>
      <c r="CN53" s="2">
        <v>0</v>
      </c>
      <c r="CO53" s="2">
        <v>0</v>
      </c>
      <c r="CP53" s="2">
        <v>0</v>
      </c>
      <c r="CQ53" s="2">
        <v>0</v>
      </c>
      <c r="CR53" s="2">
        <v>0</v>
      </c>
      <c r="CS53">
        <v>0</v>
      </c>
      <c r="CT53">
        <v>0</v>
      </c>
      <c r="CU53">
        <v>0</v>
      </c>
    </row>
    <row r="54" spans="5:99" x14ac:dyDescent="0.25">
      <c r="E54" s="2">
        <v>13</v>
      </c>
      <c r="F54" s="2">
        <v>3</v>
      </c>
      <c r="G54" s="2">
        <v>13</v>
      </c>
      <c r="H54" s="2">
        <v>11</v>
      </c>
      <c r="I54" s="2">
        <v>-5.75</v>
      </c>
      <c r="J54" s="2">
        <v>0</v>
      </c>
      <c r="K54" s="2">
        <v>5.75</v>
      </c>
      <c r="L54" s="2">
        <v>-1</v>
      </c>
      <c r="M54" s="2">
        <v>0</v>
      </c>
      <c r="N54" s="6"/>
      <c r="O54" s="2">
        <v>7</v>
      </c>
      <c r="P54" s="2">
        <v>17.25</v>
      </c>
      <c r="Q54" s="2">
        <v>0</v>
      </c>
      <c r="S54" s="3">
        <v>24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-0.99998319723090257</v>
      </c>
      <c r="AF54" s="2">
        <v>0.99997374604549361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-0.71224917072145033</v>
      </c>
      <c r="CD54" s="2">
        <v>0</v>
      </c>
      <c r="CE54" s="2">
        <v>0</v>
      </c>
      <c r="CF54" s="2">
        <v>0</v>
      </c>
      <c r="CG54" s="2">
        <v>0</v>
      </c>
      <c r="CH54" s="2">
        <v>0</v>
      </c>
      <c r="CI54" s="2">
        <v>0</v>
      </c>
      <c r="CJ54" s="2">
        <v>0</v>
      </c>
      <c r="CK54" s="2">
        <v>0</v>
      </c>
      <c r="CL54" s="2">
        <v>0</v>
      </c>
      <c r="CM54" s="2">
        <v>0</v>
      </c>
      <c r="CN54" s="2">
        <v>0</v>
      </c>
      <c r="CO54" s="2">
        <v>0</v>
      </c>
      <c r="CP54" s="2">
        <v>0</v>
      </c>
      <c r="CQ54" s="2">
        <v>0</v>
      </c>
      <c r="CR54" s="2">
        <v>0</v>
      </c>
      <c r="CS54">
        <v>0</v>
      </c>
      <c r="CT54">
        <v>0</v>
      </c>
      <c r="CU54">
        <v>0</v>
      </c>
    </row>
    <row r="55" spans="5:99" x14ac:dyDescent="0.25">
      <c r="E55" s="2">
        <v>13</v>
      </c>
      <c r="F55" s="2">
        <v>50</v>
      </c>
      <c r="G55" s="2">
        <v>13</v>
      </c>
      <c r="H55" s="2">
        <v>10</v>
      </c>
      <c r="I55" s="2">
        <v>-5.75</v>
      </c>
      <c r="J55" s="2">
        <v>4.615384615384615</v>
      </c>
      <c r="K55" s="2">
        <v>7.3732133529370349</v>
      </c>
      <c r="L55" s="2">
        <v>-0.77984994123485574</v>
      </c>
      <c r="M55" s="2">
        <v>0.62596650801459985</v>
      </c>
      <c r="N55" s="6"/>
      <c r="O55" s="2">
        <v>4</v>
      </c>
      <c r="P55" s="2">
        <v>11.5</v>
      </c>
      <c r="Q55" s="2">
        <v>2.3076923076923075</v>
      </c>
      <c r="S55" s="3">
        <v>24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5.797004041918255E-3</v>
      </c>
      <c r="AF55" s="2">
        <v>-7.2461865655471065E-3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-0.70192671897186409</v>
      </c>
      <c r="CD55" s="2">
        <v>-1</v>
      </c>
      <c r="CE55" s="2">
        <v>0</v>
      </c>
      <c r="CF55" s="2">
        <v>0</v>
      </c>
      <c r="CG55" s="2">
        <v>0</v>
      </c>
      <c r="CH55" s="2">
        <v>0</v>
      </c>
      <c r="CI55" s="2">
        <v>0</v>
      </c>
      <c r="CJ55" s="2">
        <v>0</v>
      </c>
      <c r="CK55" s="2">
        <v>0</v>
      </c>
      <c r="CL55" s="2">
        <v>0</v>
      </c>
      <c r="CM55" s="2">
        <v>0</v>
      </c>
      <c r="CN55" s="2">
        <v>0</v>
      </c>
      <c r="CO55" s="2">
        <v>0</v>
      </c>
      <c r="CP55" s="2">
        <v>0</v>
      </c>
      <c r="CQ55" s="2">
        <v>0</v>
      </c>
      <c r="CR55" s="2">
        <v>0</v>
      </c>
      <c r="CS55">
        <v>0</v>
      </c>
      <c r="CT55">
        <v>0</v>
      </c>
      <c r="CU55">
        <v>0</v>
      </c>
    </row>
    <row r="56" spans="5:99" x14ac:dyDescent="0.25">
      <c r="E56" s="2">
        <v>13</v>
      </c>
      <c r="F56" s="2">
        <v>51</v>
      </c>
      <c r="G56" s="2">
        <v>13</v>
      </c>
      <c r="H56" s="2">
        <v>12</v>
      </c>
      <c r="I56" s="2">
        <v>0</v>
      </c>
      <c r="J56" s="2">
        <v>5</v>
      </c>
      <c r="K56" s="2">
        <v>5</v>
      </c>
      <c r="L56" s="2">
        <v>0</v>
      </c>
      <c r="M56" s="2">
        <v>1</v>
      </c>
      <c r="N56" s="6"/>
      <c r="O56" s="2">
        <v>7</v>
      </c>
      <c r="P56" s="2">
        <v>17.25</v>
      </c>
      <c r="Q56" s="2">
        <v>0</v>
      </c>
      <c r="S56" s="3">
        <v>25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1</v>
      </c>
      <c r="AV56" s="2">
        <v>-1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0.7148340255851473</v>
      </c>
      <c r="CF56" s="2">
        <v>0</v>
      </c>
      <c r="CG56" s="2">
        <v>0</v>
      </c>
      <c r="CH56" s="2">
        <v>0</v>
      </c>
      <c r="CI56" s="2">
        <v>0</v>
      </c>
      <c r="CJ56" s="2">
        <v>0</v>
      </c>
      <c r="CK56" s="2">
        <v>0</v>
      </c>
      <c r="CL56" s="2">
        <v>0</v>
      </c>
      <c r="CM56" s="2">
        <v>0</v>
      </c>
      <c r="CN56" s="2">
        <v>0</v>
      </c>
      <c r="CO56" s="2">
        <v>0</v>
      </c>
      <c r="CP56" s="2">
        <v>0</v>
      </c>
      <c r="CQ56" s="2">
        <v>0</v>
      </c>
      <c r="CR56" s="2">
        <v>0</v>
      </c>
      <c r="CS56">
        <v>0</v>
      </c>
      <c r="CT56">
        <v>0</v>
      </c>
      <c r="CU56">
        <v>0</v>
      </c>
    </row>
    <row r="57" spans="5:99" x14ac:dyDescent="0.25">
      <c r="E57" s="2">
        <v>14</v>
      </c>
      <c r="F57" s="2">
        <v>7</v>
      </c>
      <c r="G57" s="2">
        <v>14</v>
      </c>
      <c r="H57" s="2">
        <v>12</v>
      </c>
      <c r="I57" s="2">
        <v>-5.75</v>
      </c>
      <c r="J57" s="2">
        <v>-0.35714285714285676</v>
      </c>
      <c r="K57" s="2">
        <v>5.7610807163594018</v>
      </c>
      <c r="L57" s="2">
        <v>-0.99807662539288222</v>
      </c>
      <c r="M57" s="2">
        <v>-6.1992336980924295E-2</v>
      </c>
      <c r="N57" s="6"/>
      <c r="O57" s="2">
        <v>6</v>
      </c>
      <c r="P57" s="2">
        <v>17.25</v>
      </c>
      <c r="Q57" s="2">
        <v>3.225806451612903</v>
      </c>
      <c r="S57" s="3">
        <v>25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1</v>
      </c>
      <c r="CE57" s="2">
        <v>0.69929415546373108</v>
      </c>
      <c r="CF57" s="2">
        <v>0</v>
      </c>
      <c r="CG57" s="2">
        <v>0</v>
      </c>
      <c r="CH57" s="2">
        <v>0</v>
      </c>
      <c r="CI57" s="2">
        <v>0</v>
      </c>
      <c r="CJ57" s="2">
        <v>0</v>
      </c>
      <c r="CK57" s="2">
        <v>0</v>
      </c>
      <c r="CL57" s="2">
        <v>0</v>
      </c>
      <c r="CM57" s="2">
        <v>0</v>
      </c>
      <c r="CN57" s="2">
        <v>0</v>
      </c>
      <c r="CO57" s="2">
        <v>0</v>
      </c>
      <c r="CP57" s="2">
        <v>0</v>
      </c>
      <c r="CQ57" s="2">
        <v>0</v>
      </c>
      <c r="CR57" s="2">
        <v>0</v>
      </c>
      <c r="CS57">
        <v>0</v>
      </c>
      <c r="CT57">
        <v>0</v>
      </c>
      <c r="CU57">
        <v>0</v>
      </c>
    </row>
    <row r="58" spans="5:99" x14ac:dyDescent="0.25">
      <c r="E58" s="2">
        <v>14</v>
      </c>
      <c r="F58" s="2">
        <v>8</v>
      </c>
      <c r="G58" s="2">
        <v>14</v>
      </c>
      <c r="H58" s="2">
        <v>16</v>
      </c>
      <c r="I58" s="2">
        <v>5.75</v>
      </c>
      <c r="J58" s="2">
        <v>0.30323450134770891</v>
      </c>
      <c r="K58" s="2">
        <v>5.7579902016943025</v>
      </c>
      <c r="L58" s="2">
        <v>0.99861232801473832</v>
      </c>
      <c r="M58" s="2">
        <v>5.2663254143517198E-2</v>
      </c>
      <c r="N58" s="6"/>
      <c r="O58" s="2">
        <v>8</v>
      </c>
      <c r="P58" s="2">
        <v>23</v>
      </c>
      <c r="Q58" s="2">
        <v>4</v>
      </c>
      <c r="S58" s="3">
        <v>26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-0.99997374604549361</v>
      </c>
      <c r="AG58" s="2">
        <v>0.99995660172192669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2">
        <v>-0.7148340255851473</v>
      </c>
      <c r="CF58" s="2">
        <v>0</v>
      </c>
      <c r="CG58" s="2">
        <v>0</v>
      </c>
      <c r="CH58" s="2">
        <v>0</v>
      </c>
      <c r="CI58" s="2">
        <v>0</v>
      </c>
      <c r="CJ58" s="2">
        <v>0</v>
      </c>
      <c r="CK58" s="2">
        <v>0</v>
      </c>
      <c r="CL58" s="2">
        <v>0</v>
      </c>
      <c r="CM58" s="2">
        <v>0</v>
      </c>
      <c r="CN58" s="2">
        <v>0</v>
      </c>
      <c r="CO58" s="2">
        <v>0</v>
      </c>
      <c r="CP58" s="2">
        <v>0</v>
      </c>
      <c r="CQ58" s="2">
        <v>0</v>
      </c>
      <c r="CR58" s="2">
        <v>0</v>
      </c>
      <c r="CS58">
        <v>0</v>
      </c>
      <c r="CT58">
        <v>0</v>
      </c>
      <c r="CU58">
        <v>0</v>
      </c>
    </row>
    <row r="59" spans="5:99" x14ac:dyDescent="0.25">
      <c r="E59" s="2">
        <v>14</v>
      </c>
      <c r="F59" s="2">
        <v>53</v>
      </c>
      <c r="G59" s="2">
        <v>14</v>
      </c>
      <c r="H59" s="2">
        <v>15</v>
      </c>
      <c r="I59" s="2">
        <v>0</v>
      </c>
      <c r="J59" s="2">
        <v>-5.3571428571428568</v>
      </c>
      <c r="K59" s="2">
        <v>5.3571428571428568</v>
      </c>
      <c r="L59" s="2">
        <v>0</v>
      </c>
      <c r="M59" s="2">
        <v>-1</v>
      </c>
      <c r="N59" s="6"/>
      <c r="O59" s="2">
        <v>6</v>
      </c>
      <c r="P59" s="2">
        <v>17.25</v>
      </c>
      <c r="Q59" s="2">
        <v>3.225806451612903</v>
      </c>
      <c r="S59" s="3">
        <v>26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7.2461865655471065E-3</v>
      </c>
      <c r="AG59" s="2">
        <v>-9.3163658545521565E-3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2">
        <v>-0.69929415546373108</v>
      </c>
      <c r="CF59" s="2">
        <v>-1</v>
      </c>
      <c r="CG59" s="2">
        <v>0</v>
      </c>
      <c r="CH59" s="2">
        <v>0</v>
      </c>
      <c r="CI59" s="2">
        <v>0</v>
      </c>
      <c r="CJ59" s="2">
        <v>0</v>
      </c>
      <c r="CK59" s="2">
        <v>0</v>
      </c>
      <c r="CL59" s="2">
        <v>0</v>
      </c>
      <c r="CM59" s="2">
        <v>0</v>
      </c>
      <c r="CN59" s="2">
        <v>0</v>
      </c>
      <c r="CO59" s="2">
        <v>0</v>
      </c>
      <c r="CP59" s="2">
        <v>0</v>
      </c>
      <c r="CQ59" s="2">
        <v>0</v>
      </c>
      <c r="CR59" s="2">
        <v>0</v>
      </c>
      <c r="CS59">
        <v>0</v>
      </c>
      <c r="CT59">
        <v>0</v>
      </c>
      <c r="CU59">
        <v>0</v>
      </c>
    </row>
    <row r="60" spans="5:99" x14ac:dyDescent="0.25">
      <c r="E60" s="2">
        <v>14</v>
      </c>
      <c r="F60" s="2">
        <v>54</v>
      </c>
      <c r="G60" s="2">
        <v>14</v>
      </c>
      <c r="H60" s="2">
        <v>17</v>
      </c>
      <c r="I60" s="2">
        <v>5.75</v>
      </c>
      <c r="J60" s="2">
        <v>-5.3571428571428568</v>
      </c>
      <c r="K60" s="2">
        <v>7.8588472177436257</v>
      </c>
      <c r="L60" s="2">
        <v>0.73165947125396558</v>
      </c>
      <c r="M60" s="2">
        <v>-0.6816703148328872</v>
      </c>
      <c r="N60" s="6"/>
      <c r="O60" s="2">
        <v>8</v>
      </c>
      <c r="P60" s="2">
        <v>23</v>
      </c>
      <c r="Q60" s="2">
        <v>4</v>
      </c>
      <c r="S60" s="3">
        <v>27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1</v>
      </c>
      <c r="AU60" s="2">
        <v>-1</v>
      </c>
      <c r="AV60" s="2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0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2">
        <v>0</v>
      </c>
      <c r="CE60" s="2">
        <v>0</v>
      </c>
      <c r="CF60" s="2">
        <v>0</v>
      </c>
      <c r="CG60" s="2">
        <v>0.7181705560723638</v>
      </c>
      <c r="CH60" s="2">
        <v>0</v>
      </c>
      <c r="CI60" s="2">
        <v>0</v>
      </c>
      <c r="CJ60" s="2">
        <v>0</v>
      </c>
      <c r="CK60" s="2">
        <v>0</v>
      </c>
      <c r="CL60" s="2">
        <v>0</v>
      </c>
      <c r="CM60" s="2">
        <v>0</v>
      </c>
      <c r="CN60" s="2">
        <v>0</v>
      </c>
      <c r="CO60" s="2">
        <v>0</v>
      </c>
      <c r="CP60" s="2">
        <v>0</v>
      </c>
      <c r="CQ60" s="2">
        <v>0</v>
      </c>
      <c r="CR60" s="2">
        <v>0</v>
      </c>
      <c r="CS60">
        <v>0</v>
      </c>
      <c r="CT60">
        <v>0</v>
      </c>
      <c r="CU60">
        <v>0</v>
      </c>
    </row>
    <row r="61" spans="5:99" x14ac:dyDescent="0.25">
      <c r="E61" s="2">
        <v>15</v>
      </c>
      <c r="F61" s="2">
        <v>33</v>
      </c>
      <c r="G61" s="2">
        <v>15</v>
      </c>
      <c r="H61" s="2">
        <v>17</v>
      </c>
      <c r="I61" s="2">
        <v>5.75</v>
      </c>
      <c r="J61" s="2">
        <v>0</v>
      </c>
      <c r="K61" s="2">
        <v>5.75</v>
      </c>
      <c r="L61" s="2">
        <v>1</v>
      </c>
      <c r="M61" s="2">
        <v>0</v>
      </c>
      <c r="N61" s="6"/>
      <c r="O61" s="2">
        <v>10</v>
      </c>
      <c r="P61" s="2">
        <v>28.75</v>
      </c>
      <c r="Q61" s="2">
        <v>4.615384615384615</v>
      </c>
      <c r="S61" s="3">
        <v>27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2">
        <v>0</v>
      </c>
      <c r="CE61" s="2">
        <v>0</v>
      </c>
      <c r="CF61" s="2">
        <v>1</v>
      </c>
      <c r="CG61" s="2">
        <v>0.69586712265396744</v>
      </c>
      <c r="CH61" s="2">
        <v>0</v>
      </c>
      <c r="CI61" s="2">
        <v>0</v>
      </c>
      <c r="CJ61" s="2">
        <v>0</v>
      </c>
      <c r="CK61" s="2">
        <v>0</v>
      </c>
      <c r="CL61" s="2">
        <v>0</v>
      </c>
      <c r="CM61" s="2">
        <v>0</v>
      </c>
      <c r="CN61" s="2">
        <v>0</v>
      </c>
      <c r="CO61" s="2">
        <v>0</v>
      </c>
      <c r="CP61" s="2">
        <v>0</v>
      </c>
      <c r="CQ61" s="2">
        <v>0</v>
      </c>
      <c r="CR61" s="2">
        <v>0</v>
      </c>
      <c r="CS61">
        <v>0</v>
      </c>
      <c r="CT61">
        <v>0</v>
      </c>
      <c r="CU61">
        <v>0</v>
      </c>
    </row>
    <row r="62" spans="5:99" x14ac:dyDescent="0.25">
      <c r="E62" s="2">
        <v>15</v>
      </c>
      <c r="F62" s="2">
        <v>34</v>
      </c>
      <c r="G62" s="2">
        <v>15</v>
      </c>
      <c r="H62" s="2">
        <v>13</v>
      </c>
      <c r="I62" s="2">
        <v>-5.75</v>
      </c>
      <c r="J62" s="2">
        <v>0</v>
      </c>
      <c r="K62" s="2">
        <v>5.75</v>
      </c>
      <c r="L62" s="2">
        <v>-1</v>
      </c>
      <c r="M62" s="2">
        <v>0</v>
      </c>
      <c r="N62" s="6"/>
      <c r="O62" s="2">
        <v>8</v>
      </c>
      <c r="P62" s="2">
        <v>23</v>
      </c>
      <c r="Q62" s="2">
        <v>4</v>
      </c>
      <c r="S62" s="3">
        <v>28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-0.99995660172192669</v>
      </c>
      <c r="AH62" s="2">
        <v>0.99992285141170434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2">
        <v>0</v>
      </c>
      <c r="CD62" s="2">
        <v>0</v>
      </c>
      <c r="CE62" s="2">
        <v>0</v>
      </c>
      <c r="CF62" s="2">
        <v>0</v>
      </c>
      <c r="CG62" s="2">
        <v>-0.7181705560723638</v>
      </c>
      <c r="CH62" s="2">
        <v>0</v>
      </c>
      <c r="CI62" s="2">
        <v>0</v>
      </c>
      <c r="CJ62" s="2">
        <v>0</v>
      </c>
      <c r="CK62" s="2">
        <v>0</v>
      </c>
      <c r="CL62" s="2">
        <v>0</v>
      </c>
      <c r="CM62" s="2">
        <v>0</v>
      </c>
      <c r="CN62" s="2">
        <v>0</v>
      </c>
      <c r="CO62" s="2">
        <v>0</v>
      </c>
      <c r="CP62" s="2">
        <v>0</v>
      </c>
      <c r="CQ62" s="2">
        <v>0</v>
      </c>
      <c r="CR62" s="2">
        <v>0</v>
      </c>
      <c r="CS62">
        <v>0</v>
      </c>
      <c r="CT62">
        <v>0</v>
      </c>
      <c r="CU62">
        <v>0</v>
      </c>
    </row>
    <row r="63" spans="5:99" x14ac:dyDescent="0.25">
      <c r="E63" s="2">
        <v>15</v>
      </c>
      <c r="F63" s="2">
        <v>52</v>
      </c>
      <c r="G63" s="2">
        <v>15</v>
      </c>
      <c r="H63" s="2">
        <v>12</v>
      </c>
      <c r="I63" s="2">
        <v>-5.75</v>
      </c>
      <c r="J63" s="2">
        <v>5</v>
      </c>
      <c r="K63" s="2">
        <v>7.6198753270640855</v>
      </c>
      <c r="L63" s="2">
        <v>-0.75460552216350463</v>
      </c>
      <c r="M63" s="2">
        <v>0.65617871492478663</v>
      </c>
      <c r="N63" s="6"/>
      <c r="O63" s="2">
        <v>9</v>
      </c>
      <c r="P63" s="2">
        <v>23</v>
      </c>
      <c r="Q63" s="2">
        <v>0</v>
      </c>
      <c r="S63" s="3">
        <v>28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9.3163658545521565E-3</v>
      </c>
      <c r="AH63" s="2">
        <v>-1.2421401880890694E-2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2">
        <v>0</v>
      </c>
      <c r="CD63" s="2">
        <v>0</v>
      </c>
      <c r="CE63" s="2">
        <v>0</v>
      </c>
      <c r="CF63" s="2">
        <v>0</v>
      </c>
      <c r="CG63" s="2">
        <v>-0.69586712265396744</v>
      </c>
      <c r="CH63" s="2">
        <v>-1</v>
      </c>
      <c r="CI63" s="2">
        <v>0</v>
      </c>
      <c r="CJ63" s="2">
        <v>0</v>
      </c>
      <c r="CK63" s="2">
        <v>0</v>
      </c>
      <c r="CL63" s="2">
        <v>0</v>
      </c>
      <c r="CM63" s="2">
        <v>0</v>
      </c>
      <c r="CN63" s="2">
        <v>0</v>
      </c>
      <c r="CO63" s="2">
        <v>0</v>
      </c>
      <c r="CP63" s="2">
        <v>0</v>
      </c>
      <c r="CQ63" s="2">
        <v>0</v>
      </c>
      <c r="CR63" s="2">
        <v>0</v>
      </c>
      <c r="CS63">
        <v>0</v>
      </c>
      <c r="CT63">
        <v>0</v>
      </c>
      <c r="CU63">
        <v>0</v>
      </c>
    </row>
    <row r="64" spans="5:99" x14ac:dyDescent="0.25">
      <c r="E64" s="2">
        <v>15</v>
      </c>
      <c r="F64" s="2">
        <v>53</v>
      </c>
      <c r="G64" s="2">
        <v>15</v>
      </c>
      <c r="H64" s="2">
        <v>14</v>
      </c>
      <c r="I64" s="2">
        <v>0</v>
      </c>
      <c r="J64" s="2">
        <v>5.3571428571428568</v>
      </c>
      <c r="K64" s="2">
        <v>5.3571428571428568</v>
      </c>
      <c r="L64" s="2">
        <v>0</v>
      </c>
      <c r="M64" s="2">
        <v>1</v>
      </c>
      <c r="N64" s="6"/>
      <c r="O64" s="2">
        <v>8</v>
      </c>
      <c r="P64" s="2">
        <v>23</v>
      </c>
      <c r="Q64" s="2">
        <v>4</v>
      </c>
      <c r="S64" s="3">
        <v>29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1</v>
      </c>
      <c r="AT64" s="2">
        <v>-1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2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0.72264185714769913</v>
      </c>
      <c r="CJ64" s="2">
        <v>0</v>
      </c>
      <c r="CK64" s="2">
        <v>0</v>
      </c>
      <c r="CL64" s="2">
        <v>0</v>
      </c>
      <c r="CM64" s="2">
        <v>0</v>
      </c>
      <c r="CN64" s="2">
        <v>0</v>
      </c>
      <c r="CO64" s="2">
        <v>0</v>
      </c>
      <c r="CP64" s="2">
        <v>0</v>
      </c>
      <c r="CQ64" s="2">
        <v>0</v>
      </c>
      <c r="CR64" s="2">
        <v>0</v>
      </c>
      <c r="CS64">
        <v>0</v>
      </c>
      <c r="CT64">
        <v>0</v>
      </c>
      <c r="CU64">
        <v>0</v>
      </c>
    </row>
    <row r="65" spans="5:99" x14ac:dyDescent="0.25">
      <c r="E65" s="2">
        <v>16</v>
      </c>
      <c r="F65" s="2">
        <v>8</v>
      </c>
      <c r="G65" s="2">
        <v>16</v>
      </c>
      <c r="H65" s="2">
        <v>14</v>
      </c>
      <c r="I65" s="2">
        <v>-5.75</v>
      </c>
      <c r="J65" s="2">
        <v>-0.30323450134770891</v>
      </c>
      <c r="K65" s="2">
        <v>5.7579902016943025</v>
      </c>
      <c r="L65" s="2">
        <v>-0.99861232801473832</v>
      </c>
      <c r="M65" s="2">
        <v>-5.2663254143517198E-2</v>
      </c>
      <c r="N65" s="6"/>
      <c r="O65" s="2">
        <v>11</v>
      </c>
      <c r="P65" s="2">
        <v>28.75</v>
      </c>
      <c r="Q65" s="2">
        <v>0</v>
      </c>
      <c r="S65" s="3">
        <v>29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2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1</v>
      </c>
      <c r="CI65" s="2">
        <v>0.69122264596736438</v>
      </c>
      <c r="CJ65" s="2">
        <v>0</v>
      </c>
      <c r="CK65" s="2">
        <v>0</v>
      </c>
      <c r="CL65" s="2">
        <v>0</v>
      </c>
      <c r="CM65" s="2">
        <v>0</v>
      </c>
      <c r="CN65" s="2">
        <v>0</v>
      </c>
      <c r="CO65" s="2">
        <v>0</v>
      </c>
      <c r="CP65" s="2">
        <v>0</v>
      </c>
      <c r="CQ65" s="2">
        <v>0</v>
      </c>
      <c r="CR65" s="2">
        <v>0</v>
      </c>
      <c r="CS65">
        <v>0</v>
      </c>
      <c r="CT65">
        <v>0</v>
      </c>
      <c r="CU65">
        <v>0</v>
      </c>
    </row>
    <row r="66" spans="5:99" x14ac:dyDescent="0.25">
      <c r="E66" s="2">
        <v>16</v>
      </c>
      <c r="F66" s="2">
        <v>9</v>
      </c>
      <c r="G66" s="2">
        <v>16</v>
      </c>
      <c r="H66" s="2">
        <v>18</v>
      </c>
      <c r="I66" s="2">
        <v>5.75</v>
      </c>
      <c r="J66" s="2">
        <v>0.22197558268590445</v>
      </c>
      <c r="K66" s="2">
        <v>5.7542830273900103</v>
      </c>
      <c r="L66" s="2">
        <v>0.99925568009609134</v>
      </c>
      <c r="M66" s="2">
        <v>3.8575715102874712E-2</v>
      </c>
      <c r="N66" s="6"/>
      <c r="O66" s="2">
        <v>9</v>
      </c>
      <c r="P66" s="2">
        <v>23</v>
      </c>
      <c r="Q66" s="2">
        <v>0</v>
      </c>
      <c r="S66" s="3">
        <v>30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-0.99992285141170434</v>
      </c>
      <c r="AI66" s="2">
        <v>0.99984880556309119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0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-0.72264185714769913</v>
      </c>
      <c r="CJ66" s="2">
        <v>0</v>
      </c>
      <c r="CK66" s="2">
        <v>0</v>
      </c>
      <c r="CL66" s="2">
        <v>0</v>
      </c>
      <c r="CM66" s="2">
        <v>0</v>
      </c>
      <c r="CN66" s="2">
        <v>0</v>
      </c>
      <c r="CO66" s="2">
        <v>0</v>
      </c>
      <c r="CP66" s="2">
        <v>0</v>
      </c>
      <c r="CQ66" s="2">
        <v>0</v>
      </c>
      <c r="CR66" s="2">
        <v>0</v>
      </c>
      <c r="CS66">
        <v>0</v>
      </c>
      <c r="CT66">
        <v>0</v>
      </c>
      <c r="CU66">
        <v>0</v>
      </c>
    </row>
    <row r="67" spans="5:99" x14ac:dyDescent="0.25">
      <c r="E67" s="2">
        <v>16</v>
      </c>
      <c r="F67" s="2">
        <v>55</v>
      </c>
      <c r="G67" s="2">
        <v>16</v>
      </c>
      <c r="H67" s="2">
        <v>17</v>
      </c>
      <c r="I67" s="2">
        <v>0</v>
      </c>
      <c r="J67" s="2">
        <v>-5.6603773584905657</v>
      </c>
      <c r="K67" s="2">
        <v>5.6603773584905657</v>
      </c>
      <c r="L67" s="2">
        <v>0</v>
      </c>
      <c r="M67" s="2">
        <v>-1</v>
      </c>
      <c r="N67" s="6"/>
      <c r="O67" s="2">
        <v>11</v>
      </c>
      <c r="P67" s="2">
        <v>28.75</v>
      </c>
      <c r="Q67" s="2">
        <v>0</v>
      </c>
      <c r="S67" s="3">
        <v>30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1.2421401880890694E-2</v>
      </c>
      <c r="AI67" s="2">
        <v>-1.7388674879358045E-2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-0.69122264596736438</v>
      </c>
      <c r="CJ67" s="2">
        <v>-1</v>
      </c>
      <c r="CK67" s="2">
        <v>0</v>
      </c>
      <c r="CL67" s="2">
        <v>0</v>
      </c>
      <c r="CM67" s="2">
        <v>0</v>
      </c>
      <c r="CN67" s="2">
        <v>0</v>
      </c>
      <c r="CO67" s="2">
        <v>0</v>
      </c>
      <c r="CP67" s="2">
        <v>0</v>
      </c>
      <c r="CQ67" s="2">
        <v>0</v>
      </c>
      <c r="CR67" s="2">
        <v>0</v>
      </c>
      <c r="CS67">
        <v>0</v>
      </c>
      <c r="CT67">
        <v>0</v>
      </c>
      <c r="CU67">
        <v>0</v>
      </c>
    </row>
    <row r="68" spans="5:99" x14ac:dyDescent="0.25">
      <c r="E68" s="2">
        <v>16</v>
      </c>
      <c r="F68" s="2">
        <v>56</v>
      </c>
      <c r="G68" s="2">
        <v>16</v>
      </c>
      <c r="H68" s="2">
        <v>19</v>
      </c>
      <c r="I68" s="2">
        <v>5.75</v>
      </c>
      <c r="J68" s="2">
        <v>-5.6603773584905657</v>
      </c>
      <c r="K68" s="2">
        <v>8.0686040825233594</v>
      </c>
      <c r="L68" s="2">
        <v>0.71263875897127382</v>
      </c>
      <c r="M68" s="2">
        <v>-0.70153118192414154</v>
      </c>
      <c r="N68" s="6"/>
      <c r="O68" s="2">
        <v>9</v>
      </c>
      <c r="P68" s="2">
        <v>23</v>
      </c>
      <c r="Q68" s="2">
        <v>0</v>
      </c>
      <c r="S68" s="3">
        <v>31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1</v>
      </c>
      <c r="AS68" s="2">
        <v>-1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0</v>
      </c>
      <c r="BN68" s="2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2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2">
        <v>0</v>
      </c>
      <c r="CK68" s="2">
        <v>0.72894391759820254</v>
      </c>
      <c r="CL68" s="2">
        <v>0</v>
      </c>
      <c r="CM68" s="2">
        <v>0</v>
      </c>
      <c r="CN68" s="2">
        <v>0</v>
      </c>
      <c r="CO68" s="2">
        <v>0</v>
      </c>
      <c r="CP68" s="2">
        <v>0</v>
      </c>
      <c r="CQ68" s="2">
        <v>0</v>
      </c>
      <c r="CR68" s="2">
        <v>0</v>
      </c>
      <c r="CS68">
        <v>0</v>
      </c>
      <c r="CT68">
        <v>0</v>
      </c>
      <c r="CU68">
        <v>0</v>
      </c>
    </row>
    <row r="69" spans="5:99" x14ac:dyDescent="0.25">
      <c r="E69" s="2">
        <v>17</v>
      </c>
      <c r="F69" s="2">
        <v>32</v>
      </c>
      <c r="G69" s="2">
        <v>17</v>
      </c>
      <c r="H69" s="2">
        <v>19</v>
      </c>
      <c r="I69" s="2">
        <v>5.75</v>
      </c>
      <c r="J69" s="2">
        <v>0</v>
      </c>
      <c r="K69" s="2">
        <v>5.75</v>
      </c>
      <c r="L69" s="2">
        <v>1</v>
      </c>
      <c r="M69" s="2">
        <v>0</v>
      </c>
      <c r="N69" s="6"/>
      <c r="O69" s="2">
        <v>7</v>
      </c>
      <c r="P69" s="2">
        <v>17.25</v>
      </c>
      <c r="Q69" s="2">
        <v>0</v>
      </c>
      <c r="S69" s="3">
        <v>31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2">
        <v>1</v>
      </c>
      <c r="CK69" s="2">
        <v>0.68457341826613816</v>
      </c>
      <c r="CL69" s="2">
        <v>0</v>
      </c>
      <c r="CM69" s="2">
        <v>0</v>
      </c>
      <c r="CN69" s="2">
        <v>0</v>
      </c>
      <c r="CO69" s="2">
        <v>0</v>
      </c>
      <c r="CP69" s="2">
        <v>0</v>
      </c>
      <c r="CQ69" s="2">
        <v>0</v>
      </c>
      <c r="CR69" s="2">
        <v>0</v>
      </c>
      <c r="CS69">
        <v>0</v>
      </c>
      <c r="CT69">
        <v>0</v>
      </c>
      <c r="CU69">
        <v>0</v>
      </c>
    </row>
    <row r="70" spans="5:99" x14ac:dyDescent="0.25">
      <c r="E70" s="2">
        <v>17</v>
      </c>
      <c r="F70" s="2">
        <v>33</v>
      </c>
      <c r="G70" s="2">
        <v>17</v>
      </c>
      <c r="H70" s="2">
        <v>15</v>
      </c>
      <c r="I70" s="2">
        <v>-5.75</v>
      </c>
      <c r="J70" s="2">
        <v>0</v>
      </c>
      <c r="K70" s="2">
        <v>5.75</v>
      </c>
      <c r="L70" s="2">
        <v>-1</v>
      </c>
      <c r="M70" s="2">
        <v>0</v>
      </c>
      <c r="N70" s="6"/>
      <c r="O70" s="2">
        <v>9</v>
      </c>
      <c r="P70" s="2">
        <v>23</v>
      </c>
      <c r="Q70" s="2">
        <v>0</v>
      </c>
      <c r="S70" s="3">
        <v>32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-0.99984880556309119</v>
      </c>
      <c r="AJ70" s="2">
        <v>0.99965990892133372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2">
        <v>0</v>
      </c>
      <c r="CK70" s="2">
        <v>-0.72894391759820254</v>
      </c>
      <c r="CL70" s="2">
        <v>0</v>
      </c>
      <c r="CM70" s="2">
        <v>0</v>
      </c>
      <c r="CN70" s="2">
        <v>0</v>
      </c>
      <c r="CO70" s="2">
        <v>0</v>
      </c>
      <c r="CP70" s="2">
        <v>0</v>
      </c>
      <c r="CQ70" s="2">
        <v>0</v>
      </c>
      <c r="CR70" s="2">
        <v>0</v>
      </c>
      <c r="CS70">
        <v>0</v>
      </c>
      <c r="CT70">
        <v>0</v>
      </c>
      <c r="CU70">
        <v>0</v>
      </c>
    </row>
    <row r="71" spans="5:99" x14ac:dyDescent="0.25">
      <c r="E71" s="2">
        <v>17</v>
      </c>
      <c r="F71" s="2">
        <v>54</v>
      </c>
      <c r="G71" s="2">
        <v>17</v>
      </c>
      <c r="H71" s="2">
        <v>14</v>
      </c>
      <c r="I71" s="2">
        <v>-5.75</v>
      </c>
      <c r="J71" s="2">
        <v>5.3571428571428568</v>
      </c>
      <c r="K71" s="2">
        <v>7.8588472177436257</v>
      </c>
      <c r="L71" s="2">
        <v>-0.73165947125396558</v>
      </c>
      <c r="M71" s="2">
        <v>0.6816703148328872</v>
      </c>
      <c r="N71" s="6"/>
      <c r="O71" s="2">
        <v>6</v>
      </c>
      <c r="P71" s="2">
        <v>17.25</v>
      </c>
      <c r="Q71" s="2">
        <v>3.225806451612903</v>
      </c>
      <c r="S71" s="3">
        <v>32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1.7388674879358045E-2</v>
      </c>
      <c r="AJ71" s="2">
        <v>-2.6078084580556594E-2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2">
        <v>0</v>
      </c>
      <c r="CK71" s="2">
        <v>-0.68457341826613816</v>
      </c>
      <c r="CL71" s="2">
        <v>-1</v>
      </c>
      <c r="CM71" s="2">
        <v>0</v>
      </c>
      <c r="CN71" s="2">
        <v>0</v>
      </c>
      <c r="CO71" s="2">
        <v>0</v>
      </c>
      <c r="CP71" s="2">
        <v>0</v>
      </c>
      <c r="CQ71" s="2">
        <v>0</v>
      </c>
      <c r="CR71" s="2">
        <v>0</v>
      </c>
      <c r="CS71">
        <v>0</v>
      </c>
      <c r="CT71">
        <v>0</v>
      </c>
      <c r="CU71">
        <v>0</v>
      </c>
    </row>
    <row r="72" spans="5:99" x14ac:dyDescent="0.25">
      <c r="E72" s="2">
        <v>17</v>
      </c>
      <c r="F72" s="2">
        <v>55</v>
      </c>
      <c r="G72" s="2">
        <v>17</v>
      </c>
      <c r="H72" s="2">
        <v>16</v>
      </c>
      <c r="I72" s="2">
        <v>0</v>
      </c>
      <c r="J72" s="2">
        <v>5.6603773584905657</v>
      </c>
      <c r="K72" s="2">
        <v>5.6603773584905657</v>
      </c>
      <c r="L72" s="2">
        <v>0</v>
      </c>
      <c r="M72" s="2">
        <v>1</v>
      </c>
      <c r="N72" s="6"/>
      <c r="O72" s="2">
        <v>9</v>
      </c>
      <c r="P72" s="2">
        <v>23</v>
      </c>
      <c r="Q72" s="2">
        <v>0</v>
      </c>
      <c r="S72" s="3">
        <v>33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1</v>
      </c>
      <c r="AR72" s="2">
        <v>-1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2">
        <v>0</v>
      </c>
      <c r="CK72" s="2">
        <v>0</v>
      </c>
      <c r="CL72" s="2">
        <v>0</v>
      </c>
      <c r="CM72" s="2">
        <v>0.7384854939281259</v>
      </c>
      <c r="CN72" s="2">
        <v>0</v>
      </c>
      <c r="CO72" s="2">
        <v>0</v>
      </c>
      <c r="CP72" s="2">
        <v>0</v>
      </c>
      <c r="CQ72" s="2">
        <v>0</v>
      </c>
      <c r="CR72" s="2">
        <v>0</v>
      </c>
      <c r="CS72">
        <v>0</v>
      </c>
      <c r="CT72">
        <v>0</v>
      </c>
      <c r="CU72">
        <v>0</v>
      </c>
    </row>
    <row r="73" spans="5:99" x14ac:dyDescent="0.25">
      <c r="E73" s="2">
        <v>18</v>
      </c>
      <c r="F73" s="2">
        <v>9</v>
      </c>
      <c r="G73" s="2">
        <v>18</v>
      </c>
      <c r="H73" s="2">
        <v>16</v>
      </c>
      <c r="I73" s="2">
        <v>-5.75</v>
      </c>
      <c r="J73" s="2">
        <v>-0.22197558268590445</v>
      </c>
      <c r="K73" s="2">
        <v>5.7542830273900103</v>
      </c>
      <c r="L73" s="2">
        <v>-0.99925568009609134</v>
      </c>
      <c r="M73" s="2">
        <v>-3.8575715102874712E-2</v>
      </c>
      <c r="N73" s="6"/>
      <c r="O73" s="2">
        <v>8</v>
      </c>
      <c r="P73" s="2">
        <v>23</v>
      </c>
      <c r="Q73" s="2">
        <v>4</v>
      </c>
      <c r="S73" s="3">
        <v>33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2">
        <v>0</v>
      </c>
      <c r="CK73" s="2">
        <v>0</v>
      </c>
      <c r="CL73" s="2">
        <v>1</v>
      </c>
      <c r="CM73" s="2">
        <v>0.67426936402133231</v>
      </c>
      <c r="CN73" s="2">
        <v>0</v>
      </c>
      <c r="CO73" s="2">
        <v>0</v>
      </c>
      <c r="CP73" s="2">
        <v>0</v>
      </c>
      <c r="CQ73" s="2">
        <v>0</v>
      </c>
      <c r="CR73" s="2">
        <v>0</v>
      </c>
      <c r="CS73">
        <v>0</v>
      </c>
      <c r="CT73">
        <v>0</v>
      </c>
      <c r="CU73">
        <v>0</v>
      </c>
    </row>
    <row r="74" spans="5:99" x14ac:dyDescent="0.25">
      <c r="E74" s="2">
        <v>18</v>
      </c>
      <c r="F74" s="2">
        <v>10</v>
      </c>
      <c r="G74" s="2">
        <v>18</v>
      </c>
      <c r="H74" s="2">
        <v>20</v>
      </c>
      <c r="I74" s="2">
        <v>5.75</v>
      </c>
      <c r="J74" s="2">
        <v>0.11764705882352988</v>
      </c>
      <c r="K74" s="2">
        <v>5.7512034245408001</v>
      </c>
      <c r="L74" s="2">
        <v>0.99979075256916405</v>
      </c>
      <c r="M74" s="2">
        <v>2.0456076778908809E-2</v>
      </c>
      <c r="N74" s="6"/>
      <c r="O74" s="2">
        <v>10</v>
      </c>
      <c r="P74" s="2">
        <v>28.75</v>
      </c>
      <c r="Q74" s="2">
        <v>4.615384615384615</v>
      </c>
      <c r="S74" s="3">
        <v>34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-0.99965990892133372</v>
      </c>
      <c r="AK74" s="2">
        <v>0.99905615835505956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2">
        <v>0</v>
      </c>
      <c r="CK74" s="2">
        <v>0</v>
      </c>
      <c r="CL74" s="2">
        <v>0</v>
      </c>
      <c r="CM74" s="2">
        <v>-0.7384854939281259</v>
      </c>
      <c r="CN74" s="2">
        <v>0</v>
      </c>
      <c r="CO74" s="2">
        <v>0</v>
      </c>
      <c r="CP74" s="2">
        <v>0</v>
      </c>
      <c r="CQ74" s="2">
        <v>0</v>
      </c>
      <c r="CR74" s="2">
        <v>0</v>
      </c>
      <c r="CS74">
        <v>0</v>
      </c>
      <c r="CT74">
        <v>0</v>
      </c>
      <c r="CU74">
        <v>0</v>
      </c>
    </row>
    <row r="75" spans="5:99" x14ac:dyDescent="0.25">
      <c r="E75" s="2">
        <v>18</v>
      </c>
      <c r="F75" s="2">
        <v>57</v>
      </c>
      <c r="G75" s="2">
        <v>18</v>
      </c>
      <c r="H75" s="2">
        <v>19</v>
      </c>
      <c r="I75" s="2">
        <v>0</v>
      </c>
      <c r="J75" s="2">
        <v>-5.8823529411764701</v>
      </c>
      <c r="K75" s="2">
        <v>5.8823529411764701</v>
      </c>
      <c r="L75" s="2">
        <v>0</v>
      </c>
      <c r="M75" s="2">
        <v>-1</v>
      </c>
      <c r="N75" s="6"/>
      <c r="O75" s="2">
        <v>8</v>
      </c>
      <c r="P75" s="2">
        <v>23</v>
      </c>
      <c r="Q75" s="2">
        <v>4</v>
      </c>
      <c r="S75" s="3">
        <v>34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2.6078084580556594E-2</v>
      </c>
      <c r="AK75" s="2">
        <v>-4.3437224276306939E-2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2">
        <v>0</v>
      </c>
      <c r="CK75" s="2">
        <v>0</v>
      </c>
      <c r="CL75" s="2">
        <v>0</v>
      </c>
      <c r="CM75" s="2">
        <v>-0.67426936402133231</v>
      </c>
      <c r="CN75" s="2">
        <v>-1</v>
      </c>
      <c r="CO75" s="2">
        <v>0</v>
      </c>
      <c r="CP75" s="2">
        <v>0</v>
      </c>
      <c r="CQ75" s="2">
        <v>0</v>
      </c>
      <c r="CR75" s="2">
        <v>0</v>
      </c>
      <c r="CS75">
        <v>0</v>
      </c>
      <c r="CT75">
        <v>0</v>
      </c>
      <c r="CU75">
        <v>0</v>
      </c>
    </row>
    <row r="76" spans="5:99" x14ac:dyDescent="0.25">
      <c r="E76" s="2">
        <v>18</v>
      </c>
      <c r="F76" s="2">
        <v>58</v>
      </c>
      <c r="G76" s="2">
        <v>18</v>
      </c>
      <c r="H76" s="2">
        <v>21</v>
      </c>
      <c r="I76" s="2">
        <v>5.75</v>
      </c>
      <c r="J76" s="2">
        <v>-5.8823529411764701</v>
      </c>
      <c r="K76" s="2">
        <v>8.225848048959298</v>
      </c>
      <c r="L76" s="2">
        <v>0.69901607296617485</v>
      </c>
      <c r="M76" s="2">
        <v>-0.71510595699864432</v>
      </c>
      <c r="N76" s="6"/>
      <c r="O76" s="2">
        <v>10</v>
      </c>
      <c r="P76" s="2">
        <v>28.75</v>
      </c>
      <c r="Q76" s="2">
        <v>4.615384615384615</v>
      </c>
      <c r="S76" s="3">
        <v>35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1</v>
      </c>
      <c r="AQ76" s="2">
        <v>-1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2">
        <v>0</v>
      </c>
      <c r="BO76" s="2">
        <v>0</v>
      </c>
      <c r="BP76" s="2">
        <v>0</v>
      </c>
      <c r="BQ76" s="2">
        <v>0</v>
      </c>
      <c r="BR76" s="2">
        <v>0</v>
      </c>
      <c r="BS76" s="2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2">
        <v>0</v>
      </c>
      <c r="CK76" s="2">
        <v>0</v>
      </c>
      <c r="CL76" s="2">
        <v>0</v>
      </c>
      <c r="CM76" s="2">
        <v>0</v>
      </c>
      <c r="CN76" s="2">
        <v>0</v>
      </c>
      <c r="CO76" s="2">
        <v>0.75460552216350463</v>
      </c>
      <c r="CP76" s="2">
        <v>0</v>
      </c>
      <c r="CQ76" s="2">
        <v>0</v>
      </c>
      <c r="CR76" s="2">
        <v>0</v>
      </c>
      <c r="CS76">
        <v>0</v>
      </c>
      <c r="CT76">
        <v>0</v>
      </c>
      <c r="CU76">
        <v>0</v>
      </c>
    </row>
    <row r="77" spans="5:99" x14ac:dyDescent="0.25">
      <c r="E77" s="2">
        <v>19</v>
      </c>
      <c r="F77" s="2">
        <v>31</v>
      </c>
      <c r="G77" s="2">
        <v>19</v>
      </c>
      <c r="H77" s="2">
        <v>21</v>
      </c>
      <c r="I77" s="2">
        <v>5.75</v>
      </c>
      <c r="J77" s="2">
        <v>0</v>
      </c>
      <c r="K77" s="2">
        <v>5.75</v>
      </c>
      <c r="L77" s="2">
        <v>1</v>
      </c>
      <c r="M77" s="2">
        <v>0</v>
      </c>
      <c r="N77" s="6"/>
      <c r="O77" s="2">
        <v>12</v>
      </c>
      <c r="P77" s="2">
        <v>34.5</v>
      </c>
      <c r="Q77" s="2">
        <v>5</v>
      </c>
      <c r="S77" s="3">
        <v>35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2">
        <v>0</v>
      </c>
      <c r="BR77" s="2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2">
        <v>0</v>
      </c>
      <c r="CK77" s="2">
        <v>0</v>
      </c>
      <c r="CL77" s="2">
        <v>0</v>
      </c>
      <c r="CM77" s="2">
        <v>0</v>
      </c>
      <c r="CN77" s="2">
        <v>1</v>
      </c>
      <c r="CO77" s="2">
        <v>0.65617871492478663</v>
      </c>
      <c r="CP77" s="2">
        <v>0</v>
      </c>
      <c r="CQ77" s="2">
        <v>0</v>
      </c>
      <c r="CR77" s="2">
        <v>0</v>
      </c>
      <c r="CS77">
        <v>0</v>
      </c>
      <c r="CT77">
        <v>0</v>
      </c>
      <c r="CU77">
        <v>0</v>
      </c>
    </row>
    <row r="78" spans="5:99" x14ac:dyDescent="0.25">
      <c r="E78" s="2">
        <v>19</v>
      </c>
      <c r="F78" s="2">
        <v>32</v>
      </c>
      <c r="G78" s="2">
        <v>19</v>
      </c>
      <c r="H78" s="2">
        <v>17</v>
      </c>
      <c r="I78" s="2">
        <v>-5.75</v>
      </c>
      <c r="J78" s="2">
        <v>0</v>
      </c>
      <c r="K78" s="2">
        <v>5.75</v>
      </c>
      <c r="L78" s="2">
        <v>-1</v>
      </c>
      <c r="M78" s="2">
        <v>0</v>
      </c>
      <c r="N78" s="6"/>
      <c r="O78" s="2">
        <v>10</v>
      </c>
      <c r="P78" s="2">
        <v>28.75</v>
      </c>
      <c r="Q78" s="2">
        <v>4.615384615384615</v>
      </c>
      <c r="S78" s="3">
        <v>36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-0.99905615835505956</v>
      </c>
      <c r="AL78" s="2">
        <v>0.99624058819568295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2">
        <v>0</v>
      </c>
      <c r="CK78" s="2">
        <v>0</v>
      </c>
      <c r="CL78" s="2">
        <v>0</v>
      </c>
      <c r="CM78" s="2">
        <v>0</v>
      </c>
      <c r="CN78" s="2">
        <v>0</v>
      </c>
      <c r="CO78" s="2">
        <v>-0.75460552216350463</v>
      </c>
      <c r="CP78" s="2">
        <v>0</v>
      </c>
      <c r="CQ78" s="2">
        <v>0</v>
      </c>
      <c r="CR78" s="2">
        <v>0</v>
      </c>
      <c r="CS78">
        <v>0</v>
      </c>
      <c r="CT78">
        <v>0</v>
      </c>
      <c r="CU78">
        <v>0</v>
      </c>
    </row>
    <row r="79" spans="5:99" x14ac:dyDescent="0.25">
      <c r="E79" s="2">
        <v>19</v>
      </c>
      <c r="F79" s="2">
        <v>56</v>
      </c>
      <c r="G79" s="2">
        <v>19</v>
      </c>
      <c r="H79" s="2">
        <v>16</v>
      </c>
      <c r="I79" s="2">
        <v>-5.75</v>
      </c>
      <c r="J79" s="2">
        <v>5.6603773584905657</v>
      </c>
      <c r="K79" s="2">
        <v>8.0686040825233594</v>
      </c>
      <c r="L79" s="2">
        <v>-0.71263875897127382</v>
      </c>
      <c r="M79" s="2">
        <v>0.70153118192414154</v>
      </c>
      <c r="N79" s="6"/>
      <c r="O79" s="2">
        <v>11</v>
      </c>
      <c r="P79" s="2">
        <v>28.75</v>
      </c>
      <c r="Q79" s="2">
        <v>0</v>
      </c>
      <c r="S79" s="3">
        <v>36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4.3437224276306939E-2</v>
      </c>
      <c r="AL79" s="2">
        <v>-8.6629616364841996E-2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2">
        <v>0</v>
      </c>
      <c r="BO79" s="2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2">
        <v>0</v>
      </c>
      <c r="CK79" s="2">
        <v>0</v>
      </c>
      <c r="CL79" s="2">
        <v>0</v>
      </c>
      <c r="CM79" s="2">
        <v>0</v>
      </c>
      <c r="CN79" s="2">
        <v>0</v>
      </c>
      <c r="CO79" s="2">
        <v>-0.65617871492478663</v>
      </c>
      <c r="CP79" s="2">
        <v>-1</v>
      </c>
      <c r="CQ79" s="2">
        <v>0</v>
      </c>
      <c r="CR79" s="2">
        <v>0</v>
      </c>
      <c r="CS79">
        <v>0</v>
      </c>
      <c r="CT79">
        <v>0</v>
      </c>
      <c r="CU79">
        <v>0</v>
      </c>
    </row>
    <row r="80" spans="5:99" x14ac:dyDescent="0.25">
      <c r="E80" s="2">
        <v>19</v>
      </c>
      <c r="F80" s="2">
        <v>57</v>
      </c>
      <c r="G80" s="2">
        <v>19</v>
      </c>
      <c r="H80" s="2">
        <v>18</v>
      </c>
      <c r="I80" s="2">
        <v>0</v>
      </c>
      <c r="J80" s="2">
        <v>5.8823529411764701</v>
      </c>
      <c r="K80" s="2">
        <v>5.8823529411764701</v>
      </c>
      <c r="L80" s="2">
        <v>0</v>
      </c>
      <c r="M80" s="2">
        <v>1</v>
      </c>
      <c r="N80" s="6"/>
      <c r="O80" s="2">
        <v>10</v>
      </c>
      <c r="P80" s="2">
        <v>28.75</v>
      </c>
      <c r="Q80" s="2">
        <v>4.615384615384615</v>
      </c>
      <c r="S80" s="3">
        <v>37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1</v>
      </c>
      <c r="AP80" s="2">
        <v>-1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2">
        <v>0</v>
      </c>
      <c r="CK80" s="2">
        <v>0</v>
      </c>
      <c r="CL80" s="2">
        <v>0</v>
      </c>
      <c r="CM80" s="2">
        <v>0</v>
      </c>
      <c r="CN80" s="2">
        <v>0</v>
      </c>
      <c r="CO80" s="2">
        <v>0</v>
      </c>
      <c r="CP80" s="2">
        <v>0</v>
      </c>
      <c r="CQ80" s="2">
        <v>0.7875050010075858</v>
      </c>
      <c r="CR80" s="2">
        <v>0</v>
      </c>
      <c r="CS80">
        <v>0</v>
      </c>
      <c r="CT80">
        <v>0</v>
      </c>
      <c r="CU80">
        <v>0</v>
      </c>
    </row>
    <row r="81" spans="5:99" x14ac:dyDescent="0.25">
      <c r="E81" s="2">
        <v>20</v>
      </c>
      <c r="F81" s="2">
        <v>10</v>
      </c>
      <c r="G81" s="2">
        <v>20</v>
      </c>
      <c r="H81" s="2">
        <v>18</v>
      </c>
      <c r="I81" s="2">
        <v>-5.75</v>
      </c>
      <c r="J81" s="2">
        <v>-0.11764705882352988</v>
      </c>
      <c r="K81" s="2">
        <v>5.7512034245408001</v>
      </c>
      <c r="L81" s="2">
        <v>-0.99979075256916405</v>
      </c>
      <c r="M81" s="2">
        <v>-2.0456076778908809E-2</v>
      </c>
      <c r="N81" s="6"/>
      <c r="O81" s="2">
        <v>13</v>
      </c>
      <c r="P81" s="2">
        <v>34.5</v>
      </c>
      <c r="Q81" s="2">
        <v>0</v>
      </c>
      <c r="S81" s="3">
        <v>37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2">
        <v>0</v>
      </c>
      <c r="CK81" s="2">
        <v>0</v>
      </c>
      <c r="CL81" s="2">
        <v>0</v>
      </c>
      <c r="CM81" s="2">
        <v>0</v>
      </c>
      <c r="CN81" s="2">
        <v>0</v>
      </c>
      <c r="CO81" s="2">
        <v>0</v>
      </c>
      <c r="CP81" s="2">
        <v>1</v>
      </c>
      <c r="CQ81" s="2">
        <v>0.6163082616581107</v>
      </c>
      <c r="CR81" s="2">
        <v>0</v>
      </c>
      <c r="CS81">
        <v>0</v>
      </c>
      <c r="CT81">
        <v>0</v>
      </c>
      <c r="CU81">
        <v>0</v>
      </c>
    </row>
    <row r="82" spans="5:99" x14ac:dyDescent="0.25">
      <c r="E82" s="2">
        <v>20</v>
      </c>
      <c r="F82" s="2">
        <v>11</v>
      </c>
      <c r="G82" s="2">
        <v>20</v>
      </c>
      <c r="H82" s="2">
        <v>22</v>
      </c>
      <c r="I82" s="2">
        <v>5.75</v>
      </c>
      <c r="J82" s="2">
        <v>-0.11764705882352988</v>
      </c>
      <c r="K82" s="2">
        <v>5.7512034245408001</v>
      </c>
      <c r="L82" s="2">
        <v>0.99979075256916405</v>
      </c>
      <c r="M82" s="2">
        <v>-2.0456076778908809E-2</v>
      </c>
      <c r="N82" s="6"/>
      <c r="O82" s="2">
        <v>11</v>
      </c>
      <c r="P82" s="2">
        <v>28.75</v>
      </c>
      <c r="Q82" s="2">
        <v>0</v>
      </c>
      <c r="S82" s="3">
        <v>38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-0.99624058819568295</v>
      </c>
      <c r="AM82" s="2">
        <v>0.7875050010075858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2">
        <v>0</v>
      </c>
      <c r="CK82" s="2">
        <v>0</v>
      </c>
      <c r="CL82" s="2">
        <v>0</v>
      </c>
      <c r="CM82" s="2">
        <v>0</v>
      </c>
      <c r="CN82" s="2">
        <v>0</v>
      </c>
      <c r="CO82" s="2">
        <v>0</v>
      </c>
      <c r="CP82" s="2">
        <v>0</v>
      </c>
      <c r="CQ82" s="2">
        <v>-0.7875050010075858</v>
      </c>
      <c r="CR82" s="2">
        <v>0</v>
      </c>
      <c r="CS82">
        <v>0</v>
      </c>
      <c r="CT82">
        <v>0</v>
      </c>
      <c r="CU82">
        <v>0</v>
      </c>
    </row>
    <row r="83" spans="5:99" x14ac:dyDescent="0.25">
      <c r="E83" s="2">
        <v>20</v>
      </c>
      <c r="F83" s="2">
        <v>59</v>
      </c>
      <c r="G83" s="2">
        <v>20</v>
      </c>
      <c r="H83" s="2">
        <v>21</v>
      </c>
      <c r="I83" s="2">
        <v>0</v>
      </c>
      <c r="J83" s="2">
        <v>-6</v>
      </c>
      <c r="K83" s="2">
        <v>6</v>
      </c>
      <c r="L83" s="2">
        <v>0</v>
      </c>
      <c r="M83" s="2">
        <v>-1</v>
      </c>
      <c r="N83" s="6"/>
      <c r="O83" s="2">
        <v>13</v>
      </c>
      <c r="P83" s="2">
        <v>34.5</v>
      </c>
      <c r="Q83" s="2">
        <v>0</v>
      </c>
      <c r="S83" s="3">
        <v>38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8.6629616364841996E-2</v>
      </c>
      <c r="AM83" s="2">
        <v>-0.6163082616581107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2">
        <v>0</v>
      </c>
      <c r="CK83" s="2">
        <v>0</v>
      </c>
      <c r="CL83" s="2">
        <v>0</v>
      </c>
      <c r="CM83" s="2">
        <v>0</v>
      </c>
      <c r="CN83" s="2">
        <v>0</v>
      </c>
      <c r="CO83" s="2">
        <v>0</v>
      </c>
      <c r="CP83" s="2">
        <v>0</v>
      </c>
      <c r="CQ83" s="2">
        <v>-0.6163082616581107</v>
      </c>
      <c r="CR83" s="2">
        <v>-1</v>
      </c>
      <c r="CS83">
        <v>0</v>
      </c>
      <c r="CT83">
        <v>0</v>
      </c>
      <c r="CU83">
        <v>0</v>
      </c>
    </row>
    <row r="84" spans="5:99" x14ac:dyDescent="0.25">
      <c r="E84" s="2">
        <v>21</v>
      </c>
      <c r="F84" s="2">
        <v>30</v>
      </c>
      <c r="G84" s="2">
        <v>21</v>
      </c>
      <c r="H84" s="2">
        <v>23</v>
      </c>
      <c r="I84" s="2">
        <v>5.75</v>
      </c>
      <c r="J84" s="2">
        <v>0</v>
      </c>
      <c r="K84" s="2">
        <v>5.75</v>
      </c>
      <c r="L84" s="2">
        <v>1</v>
      </c>
      <c r="M84" s="2">
        <v>0</v>
      </c>
      <c r="N84" s="6"/>
      <c r="O84" s="2">
        <v>11</v>
      </c>
      <c r="P84" s="2">
        <v>28.75</v>
      </c>
      <c r="Q84" s="2">
        <v>0</v>
      </c>
      <c r="S84" s="3">
        <v>39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1</v>
      </c>
      <c r="AO84" s="2">
        <v>-1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2">
        <v>0</v>
      </c>
      <c r="CK84" s="2">
        <v>0</v>
      </c>
      <c r="CL84" s="2">
        <v>0</v>
      </c>
      <c r="CM84" s="2">
        <v>0</v>
      </c>
      <c r="CN84" s="2">
        <v>0</v>
      </c>
      <c r="CO84" s="2">
        <v>0</v>
      </c>
      <c r="CP84" s="2">
        <v>0</v>
      </c>
      <c r="CQ84" s="2">
        <v>0</v>
      </c>
      <c r="CR84" s="2">
        <v>0</v>
      </c>
      <c r="CS84">
        <v>0</v>
      </c>
      <c r="CT84">
        <v>0</v>
      </c>
      <c r="CU84">
        <v>0</v>
      </c>
    </row>
    <row r="85" spans="5:99" x14ac:dyDescent="0.25">
      <c r="E85" s="2">
        <v>21</v>
      </c>
      <c r="F85" s="2">
        <v>31</v>
      </c>
      <c r="G85" s="2">
        <v>21</v>
      </c>
      <c r="H85" s="2">
        <v>19</v>
      </c>
      <c r="I85" s="2">
        <v>-5.75</v>
      </c>
      <c r="J85" s="2">
        <v>0</v>
      </c>
      <c r="K85" s="2">
        <v>5.75</v>
      </c>
      <c r="L85" s="2">
        <v>-1</v>
      </c>
      <c r="M85" s="2">
        <v>0</v>
      </c>
      <c r="N85" s="6"/>
      <c r="O85" s="2">
        <v>9</v>
      </c>
      <c r="P85" s="2">
        <v>23</v>
      </c>
      <c r="Q85" s="2">
        <v>0</v>
      </c>
      <c r="S85" s="3">
        <v>39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2">
        <v>0</v>
      </c>
      <c r="CK85" s="2">
        <v>0</v>
      </c>
      <c r="CL85" s="2">
        <v>0</v>
      </c>
      <c r="CM85" s="2">
        <v>0</v>
      </c>
      <c r="CN85" s="2">
        <v>0</v>
      </c>
      <c r="CO85" s="2">
        <v>0</v>
      </c>
      <c r="CP85" s="2">
        <v>0</v>
      </c>
      <c r="CQ85" s="2">
        <v>0</v>
      </c>
      <c r="CR85" s="2">
        <v>1</v>
      </c>
      <c r="CS85">
        <v>0</v>
      </c>
      <c r="CT85">
        <v>0</v>
      </c>
      <c r="CU85">
        <v>0</v>
      </c>
    </row>
    <row r="86" spans="5:99" x14ac:dyDescent="0.25">
      <c r="E86" s="2">
        <v>21</v>
      </c>
      <c r="F86" s="2">
        <v>58</v>
      </c>
      <c r="G86" s="2">
        <v>21</v>
      </c>
      <c r="H86" s="2">
        <v>18</v>
      </c>
      <c r="I86" s="2">
        <v>-5.75</v>
      </c>
      <c r="J86" s="2">
        <v>5.8823529411764701</v>
      </c>
      <c r="K86" s="2">
        <v>8.225848048959298</v>
      </c>
      <c r="L86" s="2">
        <v>-0.69901607296617485</v>
      </c>
      <c r="M86" s="2">
        <v>0.71510595699864432</v>
      </c>
      <c r="N86" s="6"/>
      <c r="O86" s="2">
        <v>11</v>
      </c>
      <c r="P86" s="2">
        <v>28.75</v>
      </c>
      <c r="Q86" s="2">
        <v>0</v>
      </c>
      <c r="S86" s="3">
        <v>40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-0.7875050010075858</v>
      </c>
      <c r="AN86" s="2">
        <v>-1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2">
        <v>0</v>
      </c>
      <c r="CK86" s="2">
        <v>0</v>
      </c>
      <c r="CL86" s="2">
        <v>0</v>
      </c>
      <c r="CM86" s="2">
        <v>0</v>
      </c>
      <c r="CN86" s="2">
        <v>0</v>
      </c>
      <c r="CO86" s="2">
        <v>0</v>
      </c>
      <c r="CP86" s="2">
        <v>0</v>
      </c>
      <c r="CQ86" s="2">
        <v>0</v>
      </c>
      <c r="CR86" s="2">
        <v>0</v>
      </c>
      <c r="CS86">
        <v>0</v>
      </c>
      <c r="CT86">
        <v>0</v>
      </c>
      <c r="CU86">
        <v>0</v>
      </c>
    </row>
    <row r="87" spans="5:99" x14ac:dyDescent="0.25">
      <c r="E87" s="2">
        <v>21</v>
      </c>
      <c r="F87" s="2">
        <v>59</v>
      </c>
      <c r="G87" s="2">
        <v>21</v>
      </c>
      <c r="H87" s="2">
        <v>20</v>
      </c>
      <c r="I87" s="2">
        <v>0</v>
      </c>
      <c r="J87" s="2">
        <v>6</v>
      </c>
      <c r="K87" s="2">
        <v>6</v>
      </c>
      <c r="L87" s="2">
        <v>0</v>
      </c>
      <c r="M87" s="2">
        <v>1</v>
      </c>
      <c r="N87" s="6"/>
      <c r="O87" s="2">
        <v>8</v>
      </c>
      <c r="P87" s="2">
        <v>23</v>
      </c>
      <c r="Q87" s="2">
        <v>4</v>
      </c>
      <c r="S87" s="3">
        <v>40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0.6163082616581107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2">
        <v>0</v>
      </c>
      <c r="CK87" s="2">
        <v>0</v>
      </c>
      <c r="CL87" s="2">
        <v>0</v>
      </c>
      <c r="CM87" s="2">
        <v>0</v>
      </c>
      <c r="CN87" s="2">
        <v>0</v>
      </c>
      <c r="CO87" s="2">
        <v>0</v>
      </c>
      <c r="CP87" s="2">
        <v>0</v>
      </c>
      <c r="CQ87" s="2">
        <v>0</v>
      </c>
      <c r="CR87" s="2">
        <v>0</v>
      </c>
      <c r="CS87">
        <v>0</v>
      </c>
      <c r="CT87">
        <v>0</v>
      </c>
      <c r="CU87">
        <v>1</v>
      </c>
    </row>
    <row r="88" spans="5:99" x14ac:dyDescent="0.25">
      <c r="E88" s="2">
        <v>21</v>
      </c>
      <c r="F88" s="2">
        <v>60</v>
      </c>
      <c r="G88" s="2">
        <v>21</v>
      </c>
      <c r="H88" s="2">
        <v>22</v>
      </c>
      <c r="I88" s="2">
        <v>5.75</v>
      </c>
      <c r="J88" s="2">
        <v>5.8823529411764701</v>
      </c>
      <c r="K88" s="2">
        <v>8.225848048959298</v>
      </c>
      <c r="L88" s="2">
        <v>0.69901607296617485</v>
      </c>
      <c r="M88" s="2">
        <v>0.71510595699864432</v>
      </c>
      <c r="N88" s="6"/>
      <c r="O88" s="2">
        <v>11</v>
      </c>
      <c r="P88" s="2">
        <v>28.75</v>
      </c>
      <c r="Q88" s="2">
        <v>0</v>
      </c>
    </row>
    <row r="89" spans="5:99" x14ac:dyDescent="0.25">
      <c r="E89" s="2">
        <v>22</v>
      </c>
      <c r="F89" s="2">
        <v>11</v>
      </c>
      <c r="G89" s="2">
        <v>22</v>
      </c>
      <c r="H89" s="2">
        <v>20</v>
      </c>
      <c r="I89" s="2">
        <v>-5.75</v>
      </c>
      <c r="J89" s="2">
        <v>0.11764705882352988</v>
      </c>
      <c r="K89" s="2">
        <v>5.7512034245408001</v>
      </c>
      <c r="L89" s="2">
        <v>-0.99979075256916405</v>
      </c>
      <c r="M89" s="2">
        <v>2.0456076778908809E-2</v>
      </c>
      <c r="N89" s="7"/>
      <c r="O89" s="2">
        <v>10</v>
      </c>
      <c r="P89" s="2">
        <v>28.75</v>
      </c>
      <c r="Q89" s="2">
        <v>4.615384615384615</v>
      </c>
    </row>
    <row r="90" spans="5:99" x14ac:dyDescent="0.25">
      <c r="E90" s="2">
        <v>22</v>
      </c>
      <c r="F90" s="2">
        <v>12</v>
      </c>
      <c r="G90" s="2">
        <v>22</v>
      </c>
      <c r="H90" s="2">
        <v>24</v>
      </c>
      <c r="I90" s="2">
        <v>5.75</v>
      </c>
      <c r="J90" s="2">
        <v>-0.22197558268590445</v>
      </c>
      <c r="K90" s="2">
        <v>5.7542830273900103</v>
      </c>
      <c r="L90" s="2">
        <v>0.99925568009609134</v>
      </c>
      <c r="M90" s="2">
        <v>-3.8575715102874712E-2</v>
      </c>
      <c r="O90" s="2">
        <v>12</v>
      </c>
      <c r="P90" s="2">
        <v>34.5</v>
      </c>
      <c r="Q90" s="2">
        <v>5</v>
      </c>
    </row>
    <row r="91" spans="5:99" x14ac:dyDescent="0.25">
      <c r="E91" s="2">
        <v>22</v>
      </c>
      <c r="F91" s="2">
        <v>60</v>
      </c>
      <c r="G91" s="2">
        <v>22</v>
      </c>
      <c r="H91" s="2">
        <v>21</v>
      </c>
      <c r="I91" s="2">
        <v>-5.75</v>
      </c>
      <c r="J91" s="2">
        <v>-5.8823529411764701</v>
      </c>
      <c r="K91" s="2">
        <v>8.225848048959298</v>
      </c>
      <c r="L91" s="2">
        <v>-0.69901607296617485</v>
      </c>
      <c r="M91" s="2">
        <v>-0.71510595699864432</v>
      </c>
      <c r="O91" s="2">
        <v>10</v>
      </c>
      <c r="P91" s="2">
        <v>28.75</v>
      </c>
      <c r="Q91" s="2">
        <v>4.615384615384615</v>
      </c>
    </row>
    <row r="92" spans="5:99" x14ac:dyDescent="0.25">
      <c r="E92" s="2">
        <v>22</v>
      </c>
      <c r="F92" s="2">
        <v>61</v>
      </c>
      <c r="G92" s="2">
        <v>22</v>
      </c>
      <c r="H92" s="2">
        <v>23</v>
      </c>
      <c r="I92" s="2">
        <v>0</v>
      </c>
      <c r="J92" s="2">
        <v>-5.8823529411764701</v>
      </c>
      <c r="K92" s="2">
        <v>5.8823529411764701</v>
      </c>
      <c r="L92" s="2">
        <v>0</v>
      </c>
      <c r="M92" s="2">
        <v>-1</v>
      </c>
      <c r="O92" s="2">
        <v>12</v>
      </c>
      <c r="P92" s="2">
        <v>34.5</v>
      </c>
      <c r="Q92" s="2">
        <v>5</v>
      </c>
    </row>
    <row r="93" spans="5:99" x14ac:dyDescent="0.25">
      <c r="E93" s="2">
        <v>23</v>
      </c>
      <c r="F93" s="2">
        <v>29</v>
      </c>
      <c r="G93" s="2">
        <v>23</v>
      </c>
      <c r="H93" s="2">
        <v>25</v>
      </c>
      <c r="I93" s="2">
        <v>5.75</v>
      </c>
      <c r="J93" s="2">
        <v>0</v>
      </c>
      <c r="K93" s="2">
        <v>5.75</v>
      </c>
      <c r="L93" s="2">
        <v>1</v>
      </c>
      <c r="M93" s="2">
        <v>0</v>
      </c>
      <c r="O93" s="2">
        <v>14</v>
      </c>
      <c r="P93" s="2">
        <v>40.25</v>
      </c>
      <c r="Q93" s="2">
        <v>5.3571428571428568</v>
      </c>
    </row>
    <row r="94" spans="5:99" x14ac:dyDescent="0.25">
      <c r="E94" s="2">
        <v>23</v>
      </c>
      <c r="F94" s="2">
        <v>30</v>
      </c>
      <c r="G94" s="2">
        <v>23</v>
      </c>
      <c r="H94" s="2">
        <v>21</v>
      </c>
      <c r="I94" s="2">
        <v>-5.75</v>
      </c>
      <c r="J94" s="2">
        <v>0</v>
      </c>
      <c r="K94" s="2">
        <v>5.75</v>
      </c>
      <c r="L94" s="2">
        <v>-1</v>
      </c>
      <c r="M94" s="2">
        <v>0</v>
      </c>
      <c r="O94" s="2">
        <v>12</v>
      </c>
      <c r="P94" s="2">
        <v>34.5</v>
      </c>
      <c r="Q94" s="2">
        <v>5</v>
      </c>
    </row>
    <row r="95" spans="5:99" x14ac:dyDescent="0.25">
      <c r="E95" s="2">
        <v>23</v>
      </c>
      <c r="F95" s="2">
        <v>61</v>
      </c>
      <c r="G95" s="2">
        <v>23</v>
      </c>
      <c r="H95" s="2">
        <v>22</v>
      </c>
      <c r="I95" s="2">
        <v>0</v>
      </c>
      <c r="J95" s="2">
        <v>5.8823529411764701</v>
      </c>
      <c r="K95" s="2">
        <v>5.8823529411764701</v>
      </c>
      <c r="L95" s="2">
        <v>0</v>
      </c>
      <c r="M95" s="2">
        <v>1</v>
      </c>
      <c r="O95" s="2">
        <v>13</v>
      </c>
      <c r="P95" s="2">
        <v>34.5</v>
      </c>
      <c r="Q95" s="2">
        <v>0</v>
      </c>
    </row>
    <row r="96" spans="5:99" x14ac:dyDescent="0.25">
      <c r="E96" s="2">
        <v>23</v>
      </c>
      <c r="F96" s="2">
        <v>62</v>
      </c>
      <c r="G96" s="2">
        <v>23</v>
      </c>
      <c r="H96" s="2">
        <v>24</v>
      </c>
      <c r="I96" s="2">
        <v>5.75</v>
      </c>
      <c r="J96" s="2">
        <v>5.6603773584905657</v>
      </c>
      <c r="K96" s="2">
        <v>8.0686040825233594</v>
      </c>
      <c r="L96" s="2">
        <v>0.71263875897127382</v>
      </c>
      <c r="M96" s="2">
        <v>0.70153118192414154</v>
      </c>
      <c r="O96" s="2">
        <v>12</v>
      </c>
      <c r="P96" s="2">
        <v>34.5</v>
      </c>
      <c r="Q96" s="2">
        <v>5</v>
      </c>
    </row>
    <row r="97" spans="5:17" x14ac:dyDescent="0.25">
      <c r="E97" s="2">
        <v>24</v>
      </c>
      <c r="F97" s="2">
        <v>12</v>
      </c>
      <c r="G97" s="2">
        <v>24</v>
      </c>
      <c r="H97" s="2">
        <v>22</v>
      </c>
      <c r="I97" s="2">
        <v>-5.75</v>
      </c>
      <c r="J97" s="2">
        <v>0.22197558268590445</v>
      </c>
      <c r="K97" s="2">
        <v>5.7542830273900103</v>
      </c>
      <c r="L97" s="2">
        <v>-0.99925568009609134</v>
      </c>
      <c r="M97" s="2">
        <v>3.8575715102874712E-2</v>
      </c>
      <c r="O97" s="2">
        <v>15</v>
      </c>
      <c r="P97" s="2">
        <v>40.25</v>
      </c>
      <c r="Q97" s="2">
        <v>0</v>
      </c>
    </row>
    <row r="98" spans="5:17" x14ac:dyDescent="0.25">
      <c r="E98" s="2">
        <v>24</v>
      </c>
      <c r="F98" s="2">
        <v>13</v>
      </c>
      <c r="G98" s="2">
        <v>24</v>
      </c>
      <c r="H98" s="2">
        <v>26</v>
      </c>
      <c r="I98" s="2">
        <v>5.75</v>
      </c>
      <c r="J98" s="2">
        <v>-0.30323450134770891</v>
      </c>
      <c r="K98" s="2">
        <v>5.7579902016943025</v>
      </c>
      <c r="L98" s="2">
        <v>0.99861232801473832</v>
      </c>
      <c r="M98" s="2">
        <v>-5.2663254143517198E-2</v>
      </c>
      <c r="O98" s="2">
        <v>13</v>
      </c>
      <c r="P98" s="2">
        <v>34.5</v>
      </c>
      <c r="Q98" s="2">
        <v>0</v>
      </c>
    </row>
    <row r="99" spans="5:17" x14ac:dyDescent="0.25">
      <c r="E99" s="2">
        <v>24</v>
      </c>
      <c r="F99" s="2">
        <v>62</v>
      </c>
      <c r="G99" s="2">
        <v>24</v>
      </c>
      <c r="H99" s="2">
        <v>23</v>
      </c>
      <c r="I99" s="2">
        <v>-5.75</v>
      </c>
      <c r="J99" s="2">
        <v>-5.6603773584905657</v>
      </c>
      <c r="K99" s="2">
        <v>8.0686040825233594</v>
      </c>
      <c r="L99" s="2">
        <v>-0.71263875897127382</v>
      </c>
      <c r="M99" s="2">
        <v>-0.70153118192414154</v>
      </c>
      <c r="O99" s="2">
        <v>15</v>
      </c>
      <c r="P99" s="2">
        <v>40.25</v>
      </c>
      <c r="Q99" s="2">
        <v>0</v>
      </c>
    </row>
    <row r="100" spans="5:17" x14ac:dyDescent="0.25">
      <c r="E100" s="2">
        <v>24</v>
      </c>
      <c r="F100" s="2">
        <v>63</v>
      </c>
      <c r="G100" s="2">
        <v>24</v>
      </c>
      <c r="H100" s="2">
        <v>25</v>
      </c>
      <c r="I100" s="2">
        <v>0</v>
      </c>
      <c r="J100" s="2">
        <v>-5.6603773584905657</v>
      </c>
      <c r="K100" s="2">
        <v>5.6603773584905657</v>
      </c>
      <c r="L100" s="2">
        <v>0</v>
      </c>
      <c r="M100" s="2">
        <v>-1</v>
      </c>
      <c r="O100" s="2">
        <v>13</v>
      </c>
      <c r="P100" s="2">
        <v>34.5</v>
      </c>
      <c r="Q100" s="2">
        <v>0</v>
      </c>
    </row>
    <row r="101" spans="5:17" x14ac:dyDescent="0.25">
      <c r="E101" s="2">
        <v>25</v>
      </c>
      <c r="F101" s="2">
        <v>28</v>
      </c>
      <c r="G101" s="2">
        <v>25</v>
      </c>
      <c r="H101" s="2">
        <v>27</v>
      </c>
      <c r="I101" s="2">
        <v>5.75</v>
      </c>
      <c r="J101" s="2">
        <v>0</v>
      </c>
      <c r="K101" s="2">
        <v>5.75</v>
      </c>
      <c r="L101" s="2">
        <v>1</v>
      </c>
      <c r="M101" s="2">
        <v>0</v>
      </c>
      <c r="O101" s="2">
        <v>11</v>
      </c>
      <c r="P101" s="2">
        <v>28.75</v>
      </c>
      <c r="Q101" s="2">
        <v>0</v>
      </c>
    </row>
    <row r="102" spans="5:17" x14ac:dyDescent="0.25">
      <c r="E102" s="2">
        <v>25</v>
      </c>
      <c r="F102" s="2">
        <v>29</v>
      </c>
      <c r="G102" s="2">
        <v>25</v>
      </c>
      <c r="H102" s="2">
        <v>23</v>
      </c>
      <c r="I102" s="2">
        <v>-5.75</v>
      </c>
      <c r="J102" s="2">
        <v>0</v>
      </c>
      <c r="K102" s="2">
        <v>5.75</v>
      </c>
      <c r="L102" s="2">
        <v>-1</v>
      </c>
      <c r="M102" s="2">
        <v>0</v>
      </c>
      <c r="O102" s="2">
        <v>13</v>
      </c>
      <c r="P102" s="2">
        <v>34.5</v>
      </c>
      <c r="Q102" s="2">
        <v>0</v>
      </c>
    </row>
    <row r="103" spans="5:17" x14ac:dyDescent="0.25">
      <c r="E103" s="2">
        <v>25</v>
      </c>
      <c r="F103" s="2">
        <v>63</v>
      </c>
      <c r="G103" s="2">
        <v>25</v>
      </c>
      <c r="H103" s="2">
        <v>24</v>
      </c>
      <c r="I103" s="2">
        <v>0</v>
      </c>
      <c r="J103" s="2">
        <v>5.6603773584905657</v>
      </c>
      <c r="K103" s="2">
        <v>5.6603773584905657</v>
      </c>
      <c r="L103" s="2">
        <v>0</v>
      </c>
      <c r="M103" s="2">
        <v>1</v>
      </c>
      <c r="O103" s="2">
        <v>10</v>
      </c>
      <c r="P103" s="2">
        <v>28.75</v>
      </c>
      <c r="Q103" s="2">
        <v>4.615384615384615</v>
      </c>
    </row>
    <row r="104" spans="5:17" x14ac:dyDescent="0.25">
      <c r="E104" s="2">
        <v>25</v>
      </c>
      <c r="F104" s="2">
        <v>64</v>
      </c>
      <c r="G104" s="2">
        <v>25</v>
      </c>
      <c r="H104" s="2">
        <v>26</v>
      </c>
      <c r="I104" s="2">
        <v>5.75</v>
      </c>
      <c r="J104" s="2">
        <v>5.3571428571428568</v>
      </c>
      <c r="K104" s="2">
        <v>7.8588472177436257</v>
      </c>
      <c r="L104" s="2">
        <v>0.73165947125396558</v>
      </c>
      <c r="M104" s="2">
        <v>0.6816703148328872</v>
      </c>
      <c r="O104" s="2">
        <v>13</v>
      </c>
      <c r="P104" s="2">
        <v>34.5</v>
      </c>
      <c r="Q104" s="2">
        <v>0</v>
      </c>
    </row>
    <row r="105" spans="5:17" x14ac:dyDescent="0.25">
      <c r="E105" s="2">
        <v>26</v>
      </c>
      <c r="F105" s="2">
        <v>13</v>
      </c>
      <c r="G105" s="2">
        <v>26</v>
      </c>
      <c r="H105" s="2">
        <v>24</v>
      </c>
      <c r="I105" s="2">
        <v>-5.75</v>
      </c>
      <c r="J105" s="2">
        <v>0.30323450134770891</v>
      </c>
      <c r="K105" s="2">
        <v>5.7579902016943025</v>
      </c>
      <c r="L105" s="2">
        <v>-0.99861232801473832</v>
      </c>
      <c r="M105" s="2">
        <v>5.2663254143517198E-2</v>
      </c>
      <c r="O105" s="2">
        <v>12</v>
      </c>
      <c r="P105" s="2">
        <v>34.5</v>
      </c>
      <c r="Q105" s="2">
        <v>5</v>
      </c>
    </row>
    <row r="106" spans="5:17" x14ac:dyDescent="0.25">
      <c r="E106" s="2">
        <v>26</v>
      </c>
      <c r="F106" s="2">
        <v>14</v>
      </c>
      <c r="G106" s="2">
        <v>26</v>
      </c>
      <c r="H106" s="2">
        <v>28</v>
      </c>
      <c r="I106" s="2">
        <v>5.75</v>
      </c>
      <c r="J106" s="2">
        <v>-0.35714285714285676</v>
      </c>
      <c r="K106" s="2">
        <v>5.7610807163594018</v>
      </c>
      <c r="L106" s="2">
        <v>0.99807662539288222</v>
      </c>
      <c r="M106" s="2">
        <v>-6.1992336980924295E-2</v>
      </c>
      <c r="O106" s="2">
        <v>14</v>
      </c>
      <c r="P106" s="2">
        <v>40.25</v>
      </c>
      <c r="Q106" s="2">
        <v>5.3571428571428568</v>
      </c>
    </row>
    <row r="107" spans="5:17" x14ac:dyDescent="0.25">
      <c r="E107" s="2">
        <v>26</v>
      </c>
      <c r="F107" s="2">
        <v>64</v>
      </c>
      <c r="G107" s="2">
        <v>26</v>
      </c>
      <c r="H107" s="2">
        <v>25</v>
      </c>
      <c r="I107" s="2">
        <v>-5.75</v>
      </c>
      <c r="J107" s="2">
        <v>-5.3571428571428568</v>
      </c>
      <c r="K107" s="2">
        <v>7.8588472177436257</v>
      </c>
      <c r="L107" s="2">
        <v>-0.73165947125396558</v>
      </c>
      <c r="M107" s="2">
        <v>-0.6816703148328872</v>
      </c>
      <c r="O107" s="2">
        <v>12</v>
      </c>
      <c r="P107" s="2">
        <v>34.5</v>
      </c>
      <c r="Q107" s="2">
        <v>5</v>
      </c>
    </row>
    <row r="108" spans="5:17" x14ac:dyDescent="0.25">
      <c r="E108" s="2">
        <v>26</v>
      </c>
      <c r="F108" s="2">
        <v>65</v>
      </c>
      <c r="G108" s="2">
        <v>26</v>
      </c>
      <c r="H108" s="2">
        <v>27</v>
      </c>
      <c r="I108" s="2">
        <v>0</v>
      </c>
      <c r="J108" s="2">
        <v>-5.3571428571428568</v>
      </c>
      <c r="K108" s="2">
        <v>5.3571428571428568</v>
      </c>
      <c r="L108" s="2">
        <v>0</v>
      </c>
      <c r="M108" s="2">
        <v>-1</v>
      </c>
      <c r="O108" s="2">
        <v>14</v>
      </c>
      <c r="P108" s="2">
        <v>40.25</v>
      </c>
      <c r="Q108" s="2">
        <v>5.3571428571428568</v>
      </c>
    </row>
    <row r="109" spans="5:17" x14ac:dyDescent="0.25">
      <c r="E109" s="2">
        <v>27</v>
      </c>
      <c r="F109" s="2">
        <v>27</v>
      </c>
      <c r="G109" s="2">
        <v>27</v>
      </c>
      <c r="H109" s="2">
        <v>29</v>
      </c>
      <c r="I109" s="2">
        <v>5.75</v>
      </c>
      <c r="J109" s="2">
        <v>0</v>
      </c>
      <c r="K109" s="2">
        <v>5.75</v>
      </c>
      <c r="L109" s="2">
        <v>1</v>
      </c>
      <c r="M109" s="2">
        <v>0</v>
      </c>
      <c r="O109" s="2">
        <v>16</v>
      </c>
      <c r="P109" s="2">
        <v>46</v>
      </c>
      <c r="Q109" s="2">
        <v>5.6603773584905657</v>
      </c>
    </row>
    <row r="110" spans="5:17" x14ac:dyDescent="0.25">
      <c r="E110" s="2">
        <v>27</v>
      </c>
      <c r="F110" s="2">
        <v>28</v>
      </c>
      <c r="G110" s="2">
        <v>27</v>
      </c>
      <c r="H110" s="2">
        <v>25</v>
      </c>
      <c r="I110" s="2">
        <v>-5.75</v>
      </c>
      <c r="J110" s="2">
        <v>0</v>
      </c>
      <c r="K110" s="2">
        <v>5.75</v>
      </c>
      <c r="L110" s="2">
        <v>-1</v>
      </c>
      <c r="M110" s="2">
        <v>0</v>
      </c>
      <c r="O110" s="2">
        <v>14</v>
      </c>
      <c r="P110" s="2">
        <v>40.25</v>
      </c>
      <c r="Q110" s="2">
        <v>5.3571428571428568</v>
      </c>
    </row>
    <row r="111" spans="5:17" x14ac:dyDescent="0.25">
      <c r="E111" s="2">
        <v>27</v>
      </c>
      <c r="F111" s="2">
        <v>65</v>
      </c>
      <c r="G111" s="2">
        <v>27</v>
      </c>
      <c r="H111" s="2">
        <v>26</v>
      </c>
      <c r="I111" s="2">
        <v>0</v>
      </c>
      <c r="J111" s="2">
        <v>5.3571428571428568</v>
      </c>
      <c r="K111" s="2">
        <v>5.3571428571428568</v>
      </c>
      <c r="L111" s="2">
        <v>0</v>
      </c>
      <c r="M111" s="2">
        <v>1</v>
      </c>
      <c r="O111" s="2">
        <v>15</v>
      </c>
      <c r="P111" s="2">
        <v>40.25</v>
      </c>
      <c r="Q111" s="2">
        <v>0</v>
      </c>
    </row>
    <row r="112" spans="5:17" x14ac:dyDescent="0.25">
      <c r="E112" s="2">
        <v>27</v>
      </c>
      <c r="F112" s="2">
        <v>66</v>
      </c>
      <c r="G112" s="2">
        <v>27</v>
      </c>
      <c r="H112" s="2">
        <v>28</v>
      </c>
      <c r="I112" s="2">
        <v>5.75</v>
      </c>
      <c r="J112" s="2">
        <v>5</v>
      </c>
      <c r="K112" s="2">
        <v>7.6198753270640855</v>
      </c>
      <c r="L112" s="2">
        <v>0.75460552216350463</v>
      </c>
      <c r="M112" s="2">
        <v>0.65617871492478663</v>
      </c>
      <c r="O112" s="2">
        <v>14</v>
      </c>
      <c r="P112" s="2">
        <v>40.25</v>
      </c>
      <c r="Q112" s="2">
        <v>5.3571428571428568</v>
      </c>
    </row>
    <row r="113" spans="5:17" x14ac:dyDescent="0.25">
      <c r="E113" s="2">
        <v>28</v>
      </c>
      <c r="F113" s="2">
        <v>14</v>
      </c>
      <c r="G113" s="2">
        <v>28</v>
      </c>
      <c r="H113" s="2">
        <v>26</v>
      </c>
      <c r="I113" s="2">
        <v>-5.75</v>
      </c>
      <c r="J113" s="2">
        <v>0.35714285714285676</v>
      </c>
      <c r="K113" s="2">
        <v>5.7610807163594018</v>
      </c>
      <c r="L113" s="2">
        <v>-0.99807662539288222</v>
      </c>
      <c r="M113" s="2">
        <v>6.1992336980924295E-2</v>
      </c>
      <c r="O113" s="2">
        <v>17</v>
      </c>
      <c r="P113" s="2">
        <v>46</v>
      </c>
      <c r="Q113" s="2">
        <v>0</v>
      </c>
    </row>
    <row r="114" spans="5:17" x14ac:dyDescent="0.25">
      <c r="E114" s="2">
        <v>28</v>
      </c>
      <c r="F114" s="2">
        <v>15</v>
      </c>
      <c r="G114" s="2">
        <v>28</v>
      </c>
      <c r="H114" s="2">
        <v>30</v>
      </c>
      <c r="I114" s="2">
        <v>5.75</v>
      </c>
      <c r="J114" s="2">
        <v>-0.38461538461538503</v>
      </c>
      <c r="K114" s="2">
        <v>5.7628490344692214</v>
      </c>
      <c r="L114" s="2">
        <v>0.99777036767883942</v>
      </c>
      <c r="M114" s="2">
        <v>-6.674049282132713E-2</v>
      </c>
      <c r="O114" s="2">
        <v>15</v>
      </c>
      <c r="P114" s="2">
        <v>40.25</v>
      </c>
      <c r="Q114" s="2">
        <v>0</v>
      </c>
    </row>
    <row r="115" spans="5:17" x14ac:dyDescent="0.25">
      <c r="E115" s="2">
        <v>28</v>
      </c>
      <c r="F115" s="2">
        <v>66</v>
      </c>
      <c r="G115" s="2">
        <v>28</v>
      </c>
      <c r="H115" s="2">
        <v>27</v>
      </c>
      <c r="I115" s="2">
        <v>-5.75</v>
      </c>
      <c r="J115" s="2">
        <v>-5</v>
      </c>
      <c r="K115" s="2">
        <v>7.6198753270640855</v>
      </c>
      <c r="L115" s="2">
        <v>-0.75460552216350463</v>
      </c>
      <c r="M115" s="2">
        <v>-0.65617871492478663</v>
      </c>
      <c r="O115" s="2">
        <v>17</v>
      </c>
      <c r="P115" s="2">
        <v>46</v>
      </c>
      <c r="Q115" s="2">
        <v>0</v>
      </c>
    </row>
    <row r="116" spans="5:17" x14ac:dyDescent="0.25">
      <c r="E116" s="2">
        <v>28</v>
      </c>
      <c r="F116" s="2">
        <v>67</v>
      </c>
      <c r="G116" s="2">
        <v>28</v>
      </c>
      <c r="H116" s="2">
        <v>29</v>
      </c>
      <c r="I116" s="2">
        <v>0</v>
      </c>
      <c r="J116" s="2">
        <v>-5</v>
      </c>
      <c r="K116" s="2">
        <v>5</v>
      </c>
      <c r="L116" s="2">
        <v>0</v>
      </c>
      <c r="M116" s="2">
        <v>-1</v>
      </c>
      <c r="O116" s="2">
        <v>15</v>
      </c>
      <c r="P116" s="2">
        <v>40.25</v>
      </c>
      <c r="Q116" s="2">
        <v>0</v>
      </c>
    </row>
    <row r="117" spans="5:17" x14ac:dyDescent="0.25">
      <c r="E117" s="2">
        <v>29</v>
      </c>
      <c r="F117" s="2">
        <v>26</v>
      </c>
      <c r="G117" s="2">
        <v>29</v>
      </c>
      <c r="H117" s="2">
        <v>31</v>
      </c>
      <c r="I117" s="2">
        <v>5.75</v>
      </c>
      <c r="J117" s="2">
        <v>0</v>
      </c>
      <c r="K117" s="2">
        <v>5.75</v>
      </c>
      <c r="L117" s="2">
        <v>1</v>
      </c>
      <c r="M117" s="2">
        <v>0</v>
      </c>
      <c r="O117" s="2">
        <v>13</v>
      </c>
      <c r="P117" s="2">
        <v>34.5</v>
      </c>
      <c r="Q117" s="2">
        <v>0</v>
      </c>
    </row>
    <row r="118" spans="5:17" x14ac:dyDescent="0.25">
      <c r="E118" s="2">
        <v>29</v>
      </c>
      <c r="F118" s="2">
        <v>27</v>
      </c>
      <c r="G118" s="2">
        <v>29</v>
      </c>
      <c r="H118" s="2">
        <v>27</v>
      </c>
      <c r="I118" s="2">
        <v>-5.75</v>
      </c>
      <c r="J118" s="2">
        <v>0</v>
      </c>
      <c r="K118" s="2">
        <v>5.75</v>
      </c>
      <c r="L118" s="2">
        <v>-1</v>
      </c>
      <c r="M118" s="2">
        <v>0</v>
      </c>
      <c r="O118" s="2">
        <v>15</v>
      </c>
      <c r="P118" s="2">
        <v>40.25</v>
      </c>
      <c r="Q118" s="2">
        <v>0</v>
      </c>
    </row>
    <row r="119" spans="5:17" x14ac:dyDescent="0.25">
      <c r="E119" s="2">
        <v>29</v>
      </c>
      <c r="F119" s="2">
        <v>67</v>
      </c>
      <c r="G119" s="2">
        <v>29</v>
      </c>
      <c r="H119" s="2">
        <v>28</v>
      </c>
      <c r="I119" s="2">
        <v>0</v>
      </c>
      <c r="J119" s="2">
        <v>5</v>
      </c>
      <c r="K119" s="2">
        <v>5</v>
      </c>
      <c r="L119" s="2">
        <v>0</v>
      </c>
      <c r="M119" s="2">
        <v>1</v>
      </c>
      <c r="O119" s="2">
        <v>12</v>
      </c>
      <c r="P119" s="2">
        <v>34.5</v>
      </c>
      <c r="Q119" s="2">
        <v>5</v>
      </c>
    </row>
    <row r="120" spans="5:17" x14ac:dyDescent="0.25">
      <c r="E120" s="2">
        <v>29</v>
      </c>
      <c r="F120" s="2">
        <v>68</v>
      </c>
      <c r="G120" s="2">
        <v>29</v>
      </c>
      <c r="H120" s="2">
        <v>30</v>
      </c>
      <c r="I120" s="2">
        <v>5.75</v>
      </c>
      <c r="J120" s="2">
        <v>4.615384615384615</v>
      </c>
      <c r="K120" s="2">
        <v>7.3732133529370349</v>
      </c>
      <c r="L120" s="2">
        <v>0.77984994123485574</v>
      </c>
      <c r="M120" s="2">
        <v>0.62596650801459985</v>
      </c>
      <c r="O120" s="2">
        <v>15</v>
      </c>
      <c r="P120" s="2">
        <v>40.25</v>
      </c>
      <c r="Q120" s="2">
        <v>0</v>
      </c>
    </row>
    <row r="121" spans="5:17" x14ac:dyDescent="0.25">
      <c r="E121" s="2">
        <v>30</v>
      </c>
      <c r="F121" s="2">
        <v>15</v>
      </c>
      <c r="G121" s="2">
        <v>30</v>
      </c>
      <c r="H121" s="2">
        <v>28</v>
      </c>
      <c r="I121" s="2">
        <v>-5.75</v>
      </c>
      <c r="J121" s="2">
        <v>0.38461538461538503</v>
      </c>
      <c r="K121" s="2">
        <v>5.7628490344692214</v>
      </c>
      <c r="L121" s="2">
        <v>-0.99777036767883942</v>
      </c>
      <c r="M121" s="2">
        <v>6.674049282132713E-2</v>
      </c>
      <c r="O121" s="2">
        <v>14</v>
      </c>
      <c r="P121" s="2">
        <v>40.25</v>
      </c>
      <c r="Q121" s="2">
        <v>5.3571428571428568</v>
      </c>
    </row>
    <row r="122" spans="5:17" x14ac:dyDescent="0.25">
      <c r="E122" s="2">
        <v>30</v>
      </c>
      <c r="F122" s="2">
        <v>16</v>
      </c>
      <c r="G122" s="2">
        <v>30</v>
      </c>
      <c r="H122" s="2">
        <v>32</v>
      </c>
      <c r="I122" s="2">
        <v>5.75</v>
      </c>
      <c r="J122" s="2">
        <v>-0.61538461538461497</v>
      </c>
      <c r="K122" s="2">
        <v>5.7828365206749597</v>
      </c>
      <c r="L122" s="2">
        <v>0.9943217276577746</v>
      </c>
      <c r="M122" s="2">
        <v>-0.10641570329447747</v>
      </c>
      <c r="O122" s="2">
        <v>16</v>
      </c>
      <c r="P122" s="2">
        <v>46</v>
      </c>
      <c r="Q122" s="2">
        <v>5.6603773584905657</v>
      </c>
    </row>
    <row r="123" spans="5:17" x14ac:dyDescent="0.25">
      <c r="E123" s="2">
        <v>30</v>
      </c>
      <c r="F123" s="2">
        <v>68</v>
      </c>
      <c r="G123" s="2">
        <v>30</v>
      </c>
      <c r="H123" s="2">
        <v>29</v>
      </c>
      <c r="I123" s="2">
        <v>-5.75</v>
      </c>
      <c r="J123" s="2">
        <v>-4.615384615384615</v>
      </c>
      <c r="K123" s="2">
        <v>7.3732133529370349</v>
      </c>
      <c r="L123" s="2">
        <v>-0.77984994123485574</v>
      </c>
      <c r="M123" s="2">
        <v>-0.62596650801459985</v>
      </c>
      <c r="O123" s="2">
        <v>14</v>
      </c>
      <c r="P123" s="2">
        <v>40.25</v>
      </c>
      <c r="Q123" s="2">
        <v>5.3571428571428568</v>
      </c>
    </row>
    <row r="124" spans="5:17" x14ac:dyDescent="0.25">
      <c r="E124" s="2">
        <v>30</v>
      </c>
      <c r="F124" s="2">
        <v>69</v>
      </c>
      <c r="G124" s="2">
        <v>30</v>
      </c>
      <c r="H124" s="2">
        <v>31</v>
      </c>
      <c r="I124" s="2">
        <v>0</v>
      </c>
      <c r="J124" s="2">
        <v>-4.615384615384615</v>
      </c>
      <c r="K124" s="2">
        <v>4.615384615384615</v>
      </c>
      <c r="L124" s="2">
        <v>0</v>
      </c>
      <c r="M124" s="2">
        <v>-1</v>
      </c>
      <c r="O124" s="2">
        <v>16</v>
      </c>
      <c r="P124" s="2">
        <v>46</v>
      </c>
      <c r="Q124" s="2">
        <v>5.6603773584905657</v>
      </c>
    </row>
    <row r="125" spans="5:17" x14ac:dyDescent="0.25">
      <c r="E125" s="2">
        <v>31</v>
      </c>
      <c r="F125" s="2">
        <v>25</v>
      </c>
      <c r="G125" s="2">
        <v>31</v>
      </c>
      <c r="H125" s="2">
        <v>33</v>
      </c>
      <c r="I125" s="2">
        <v>5.75</v>
      </c>
      <c r="J125" s="2">
        <v>0</v>
      </c>
      <c r="K125" s="2">
        <v>5.75</v>
      </c>
      <c r="L125" s="2">
        <v>1</v>
      </c>
      <c r="M125" s="2">
        <v>0</v>
      </c>
      <c r="O125" s="2">
        <v>18</v>
      </c>
      <c r="P125" s="2">
        <v>51.75</v>
      </c>
      <c r="Q125" s="2">
        <v>5.8823529411764701</v>
      </c>
    </row>
    <row r="126" spans="5:17" x14ac:dyDescent="0.25">
      <c r="E126" s="2">
        <v>31</v>
      </c>
      <c r="F126" s="2">
        <v>26</v>
      </c>
      <c r="G126" s="2">
        <v>31</v>
      </c>
      <c r="H126" s="2">
        <v>29</v>
      </c>
      <c r="I126" s="2">
        <v>-5.75</v>
      </c>
      <c r="J126" s="2">
        <v>0</v>
      </c>
      <c r="K126" s="2">
        <v>5.75</v>
      </c>
      <c r="L126" s="2">
        <v>-1</v>
      </c>
      <c r="M126" s="2">
        <v>0</v>
      </c>
      <c r="O126" s="2">
        <v>16</v>
      </c>
      <c r="P126" s="2">
        <v>46</v>
      </c>
      <c r="Q126" s="2">
        <v>5.6603773584905657</v>
      </c>
    </row>
    <row r="127" spans="5:17" x14ac:dyDescent="0.25">
      <c r="E127" s="2">
        <v>31</v>
      </c>
      <c r="F127" s="2">
        <v>69</v>
      </c>
      <c r="G127" s="2">
        <v>31</v>
      </c>
      <c r="H127" s="2">
        <v>30</v>
      </c>
      <c r="I127" s="2">
        <v>0</v>
      </c>
      <c r="J127" s="2">
        <v>4.615384615384615</v>
      </c>
      <c r="K127" s="2">
        <v>4.615384615384615</v>
      </c>
      <c r="L127" s="2">
        <v>0</v>
      </c>
      <c r="M127" s="2">
        <v>1</v>
      </c>
      <c r="O127" s="2">
        <v>17</v>
      </c>
      <c r="P127" s="2">
        <v>46</v>
      </c>
      <c r="Q127" s="2">
        <v>0</v>
      </c>
    </row>
    <row r="128" spans="5:17" x14ac:dyDescent="0.25">
      <c r="E128" s="2">
        <v>31</v>
      </c>
      <c r="F128" s="2">
        <v>70</v>
      </c>
      <c r="G128" s="2">
        <v>31</v>
      </c>
      <c r="H128" s="2">
        <v>32</v>
      </c>
      <c r="I128" s="2">
        <v>5.75</v>
      </c>
      <c r="J128" s="2">
        <v>4</v>
      </c>
      <c r="K128" s="2">
        <v>7.00446286306095</v>
      </c>
      <c r="L128" s="2">
        <v>0.82090520178548709</v>
      </c>
      <c r="M128" s="2">
        <v>0.57106448819859978</v>
      </c>
      <c r="O128" s="2">
        <v>16</v>
      </c>
      <c r="P128" s="2">
        <v>46</v>
      </c>
      <c r="Q128" s="2">
        <v>5.6603773584905657</v>
      </c>
    </row>
    <row r="129" spans="5:17" x14ac:dyDescent="0.25">
      <c r="E129" s="2">
        <v>32</v>
      </c>
      <c r="F129" s="2">
        <v>16</v>
      </c>
      <c r="G129" s="2">
        <v>32</v>
      </c>
      <c r="H129" s="2">
        <v>30</v>
      </c>
      <c r="I129" s="2">
        <v>-5.75</v>
      </c>
      <c r="J129" s="2">
        <v>0.61538461538461497</v>
      </c>
      <c r="K129" s="2">
        <v>5.7828365206749597</v>
      </c>
      <c r="L129" s="2">
        <v>-0.9943217276577746</v>
      </c>
      <c r="M129" s="2">
        <v>0.10641570329447747</v>
      </c>
      <c r="O129" s="2">
        <v>19</v>
      </c>
      <c r="P129" s="2">
        <v>51.75</v>
      </c>
      <c r="Q129" s="2">
        <v>0</v>
      </c>
    </row>
    <row r="130" spans="5:17" x14ac:dyDescent="0.25">
      <c r="E130" s="2">
        <v>32</v>
      </c>
      <c r="F130" s="2">
        <v>17</v>
      </c>
      <c r="G130" s="2">
        <v>32</v>
      </c>
      <c r="H130" s="2">
        <v>34</v>
      </c>
      <c r="I130" s="2">
        <v>5.75</v>
      </c>
      <c r="J130" s="2">
        <v>-0.77419354838709697</v>
      </c>
      <c r="K130" s="2">
        <v>5.8018855254446553</v>
      </c>
      <c r="L130" s="2">
        <v>0.99105712699481796</v>
      </c>
      <c r="M130" s="2">
        <v>-0.13343826674825043</v>
      </c>
      <c r="O130" s="2">
        <v>17</v>
      </c>
      <c r="P130" s="2">
        <v>46</v>
      </c>
      <c r="Q130" s="2">
        <v>0</v>
      </c>
    </row>
    <row r="131" spans="5:17" x14ac:dyDescent="0.25">
      <c r="E131" s="2">
        <v>32</v>
      </c>
      <c r="F131" s="2">
        <v>70</v>
      </c>
      <c r="G131" s="2">
        <v>32</v>
      </c>
      <c r="H131" s="2">
        <v>31</v>
      </c>
      <c r="I131" s="2">
        <v>-5.75</v>
      </c>
      <c r="J131" s="2">
        <v>-4</v>
      </c>
      <c r="K131" s="2">
        <v>7.00446286306095</v>
      </c>
      <c r="L131" s="2">
        <v>-0.82090520178548709</v>
      </c>
      <c r="M131" s="2">
        <v>-0.57106448819859978</v>
      </c>
      <c r="O131" s="2">
        <v>19</v>
      </c>
      <c r="P131" s="2">
        <v>51.75</v>
      </c>
      <c r="Q131" s="2">
        <v>0</v>
      </c>
    </row>
    <row r="132" spans="5:17" x14ac:dyDescent="0.25">
      <c r="E132" s="2">
        <v>32</v>
      </c>
      <c r="F132" s="2">
        <v>71</v>
      </c>
      <c r="G132" s="2">
        <v>32</v>
      </c>
      <c r="H132" s="2">
        <v>33</v>
      </c>
      <c r="I132" s="2">
        <v>0</v>
      </c>
      <c r="J132" s="2">
        <v>-4</v>
      </c>
      <c r="K132" s="2">
        <v>4</v>
      </c>
      <c r="L132" s="2">
        <v>0</v>
      </c>
      <c r="M132" s="2">
        <v>-1</v>
      </c>
      <c r="O132" s="2">
        <v>17</v>
      </c>
      <c r="P132" s="2">
        <v>46</v>
      </c>
      <c r="Q132" s="2">
        <v>0</v>
      </c>
    </row>
    <row r="133" spans="5:17" x14ac:dyDescent="0.25">
      <c r="E133" s="2">
        <v>33</v>
      </c>
      <c r="F133" s="2">
        <v>24</v>
      </c>
      <c r="G133" s="2">
        <v>33</v>
      </c>
      <c r="H133" s="2">
        <v>35</v>
      </c>
      <c r="I133" s="2">
        <v>5.75</v>
      </c>
      <c r="J133" s="2">
        <v>0</v>
      </c>
      <c r="K133" s="2">
        <v>5.75</v>
      </c>
      <c r="L133" s="2">
        <v>1</v>
      </c>
      <c r="M133" s="2">
        <v>0</v>
      </c>
      <c r="O133" s="2">
        <v>15</v>
      </c>
      <c r="P133" s="2">
        <v>40.25</v>
      </c>
      <c r="Q133" s="2">
        <v>0</v>
      </c>
    </row>
    <row r="134" spans="5:17" x14ac:dyDescent="0.25">
      <c r="E134" s="2">
        <v>33</v>
      </c>
      <c r="F134" s="2">
        <v>25</v>
      </c>
      <c r="G134" s="2">
        <v>33</v>
      </c>
      <c r="H134" s="2">
        <v>31</v>
      </c>
      <c r="I134" s="2">
        <v>-5.75</v>
      </c>
      <c r="J134" s="2">
        <v>0</v>
      </c>
      <c r="K134" s="2">
        <v>5.75</v>
      </c>
      <c r="L134" s="2">
        <v>-1</v>
      </c>
      <c r="M134" s="2">
        <v>0</v>
      </c>
      <c r="O134" s="2">
        <v>17</v>
      </c>
      <c r="P134" s="2">
        <v>46</v>
      </c>
      <c r="Q134" s="2">
        <v>0</v>
      </c>
    </row>
    <row r="135" spans="5:17" x14ac:dyDescent="0.25">
      <c r="E135" s="2">
        <v>33</v>
      </c>
      <c r="F135" s="2">
        <v>71</v>
      </c>
      <c r="G135" s="2">
        <v>33</v>
      </c>
      <c r="H135" s="2">
        <v>32</v>
      </c>
      <c r="I135" s="2">
        <v>0</v>
      </c>
      <c r="J135" s="2">
        <v>4</v>
      </c>
      <c r="K135" s="2">
        <v>4</v>
      </c>
      <c r="L135" s="2">
        <v>0</v>
      </c>
      <c r="M135" s="2">
        <v>1</v>
      </c>
      <c r="O135" s="2">
        <v>14</v>
      </c>
      <c r="P135" s="2">
        <v>40.25</v>
      </c>
      <c r="Q135" s="2">
        <v>5.3571428571428568</v>
      </c>
    </row>
    <row r="136" spans="5:17" x14ac:dyDescent="0.25">
      <c r="E136" s="2">
        <v>33</v>
      </c>
      <c r="F136" s="2">
        <v>72</v>
      </c>
      <c r="G136" s="2">
        <v>33</v>
      </c>
      <c r="H136" s="2">
        <v>34</v>
      </c>
      <c r="I136" s="2">
        <v>5.75</v>
      </c>
      <c r="J136" s="2">
        <v>3.225806451612903</v>
      </c>
      <c r="K136" s="2">
        <v>6.5930514379358076</v>
      </c>
      <c r="L136" s="2">
        <v>0.87213031084742221</v>
      </c>
      <c r="M136" s="2">
        <v>0.48927366667457062</v>
      </c>
      <c r="O136" s="2">
        <v>17</v>
      </c>
      <c r="P136" s="2">
        <v>46</v>
      </c>
      <c r="Q136" s="2">
        <v>0</v>
      </c>
    </row>
    <row r="137" spans="5:17" x14ac:dyDescent="0.25">
      <c r="E137" s="2">
        <v>34</v>
      </c>
      <c r="F137" s="2">
        <v>17</v>
      </c>
      <c r="G137" s="2">
        <v>34</v>
      </c>
      <c r="H137" s="2">
        <v>32</v>
      </c>
      <c r="I137" s="2">
        <v>-5.75</v>
      </c>
      <c r="J137" s="2">
        <v>0.77419354838709697</v>
      </c>
      <c r="K137" s="2">
        <v>5.8018855254446553</v>
      </c>
      <c r="L137" s="2">
        <v>-0.99105712699481796</v>
      </c>
      <c r="M137" s="2">
        <v>0.13343826674825043</v>
      </c>
      <c r="O137" s="2">
        <v>16</v>
      </c>
      <c r="P137" s="2">
        <v>46</v>
      </c>
      <c r="Q137" s="2">
        <v>5.6603773584905657</v>
      </c>
    </row>
    <row r="138" spans="5:17" x14ac:dyDescent="0.25">
      <c r="E138" s="2">
        <v>34</v>
      </c>
      <c r="F138" s="2">
        <v>18</v>
      </c>
      <c r="G138" s="2">
        <v>34</v>
      </c>
      <c r="H138" s="2">
        <v>36</v>
      </c>
      <c r="I138" s="2">
        <v>5.75</v>
      </c>
      <c r="J138" s="2">
        <v>-0.91811414392059554</v>
      </c>
      <c r="K138" s="2">
        <v>5.8228372449577401</v>
      </c>
      <c r="L138" s="2">
        <v>0.98749110753167402</v>
      </c>
      <c r="M138" s="2">
        <v>-0.15767470483837281</v>
      </c>
      <c r="O138" s="2">
        <v>18</v>
      </c>
      <c r="P138" s="2">
        <v>51.75</v>
      </c>
      <c r="Q138" s="2">
        <v>5.8823529411764701</v>
      </c>
    </row>
    <row r="139" spans="5:17" x14ac:dyDescent="0.25">
      <c r="E139" s="2">
        <v>34</v>
      </c>
      <c r="F139" s="2">
        <v>72</v>
      </c>
      <c r="G139" s="2">
        <v>34</v>
      </c>
      <c r="H139" s="2">
        <v>33</v>
      </c>
      <c r="I139" s="2">
        <v>-5.75</v>
      </c>
      <c r="J139" s="2">
        <v>-3.225806451612903</v>
      </c>
      <c r="K139" s="2">
        <v>6.5930514379358076</v>
      </c>
      <c r="L139" s="2">
        <v>-0.87213031084742221</v>
      </c>
      <c r="M139" s="2">
        <v>-0.48927366667457062</v>
      </c>
      <c r="O139" s="2">
        <v>16</v>
      </c>
      <c r="P139" s="2">
        <v>46</v>
      </c>
      <c r="Q139" s="2">
        <v>5.6603773584905657</v>
      </c>
    </row>
    <row r="140" spans="5:17" x14ac:dyDescent="0.25">
      <c r="E140" s="2">
        <v>34</v>
      </c>
      <c r="F140" s="2">
        <v>73</v>
      </c>
      <c r="G140" s="2">
        <v>34</v>
      </c>
      <c r="H140" s="2">
        <v>35</v>
      </c>
      <c r="I140" s="2">
        <v>0</v>
      </c>
      <c r="J140" s="2">
        <v>-3.225806451612903</v>
      </c>
      <c r="K140" s="2">
        <v>3.225806451612903</v>
      </c>
      <c r="L140" s="2">
        <v>0</v>
      </c>
      <c r="M140" s="2">
        <v>-1</v>
      </c>
      <c r="O140" s="2">
        <v>18</v>
      </c>
      <c r="P140" s="2">
        <v>51.75</v>
      </c>
      <c r="Q140" s="2">
        <v>5.8823529411764701</v>
      </c>
    </row>
    <row r="141" spans="5:17" x14ac:dyDescent="0.25">
      <c r="E141" s="2">
        <v>35</v>
      </c>
      <c r="F141" s="2">
        <v>23</v>
      </c>
      <c r="G141" s="2">
        <v>35</v>
      </c>
      <c r="H141" s="2">
        <v>37</v>
      </c>
      <c r="I141" s="2">
        <v>5.75</v>
      </c>
      <c r="J141" s="2">
        <v>0</v>
      </c>
      <c r="K141" s="2">
        <v>5.75</v>
      </c>
      <c r="L141" s="2">
        <v>1</v>
      </c>
      <c r="M141" s="2">
        <v>0</v>
      </c>
      <c r="O141" s="2">
        <v>20</v>
      </c>
      <c r="P141" s="2">
        <v>57.5</v>
      </c>
      <c r="Q141" s="2">
        <v>6</v>
      </c>
    </row>
    <row r="142" spans="5:17" x14ac:dyDescent="0.25">
      <c r="E142" s="2">
        <v>35</v>
      </c>
      <c r="F142" s="2">
        <v>24</v>
      </c>
      <c r="G142" s="2">
        <v>35</v>
      </c>
      <c r="H142" s="2">
        <v>33</v>
      </c>
      <c r="I142" s="2">
        <v>-5.75</v>
      </c>
      <c r="J142" s="2">
        <v>0</v>
      </c>
      <c r="K142" s="2">
        <v>5.75</v>
      </c>
      <c r="L142" s="2">
        <v>-1</v>
      </c>
      <c r="M142" s="2">
        <v>0</v>
      </c>
      <c r="O142" s="2">
        <v>18</v>
      </c>
      <c r="P142" s="2">
        <v>51.75</v>
      </c>
      <c r="Q142" s="2">
        <v>5.8823529411764701</v>
      </c>
    </row>
    <row r="143" spans="5:17" x14ac:dyDescent="0.25">
      <c r="E143" s="2">
        <v>35</v>
      </c>
      <c r="F143" s="2">
        <v>73</v>
      </c>
      <c r="G143" s="2">
        <v>35</v>
      </c>
      <c r="H143" s="2">
        <v>34</v>
      </c>
      <c r="I143" s="2">
        <v>0</v>
      </c>
      <c r="J143" s="2">
        <v>3.225806451612903</v>
      </c>
      <c r="K143" s="2">
        <v>3.225806451612903</v>
      </c>
      <c r="L143" s="2">
        <v>0</v>
      </c>
      <c r="M143" s="2">
        <v>1</v>
      </c>
      <c r="O143" s="2">
        <v>19</v>
      </c>
      <c r="P143" s="2">
        <v>51.75</v>
      </c>
      <c r="Q143" s="2">
        <v>0</v>
      </c>
    </row>
    <row r="144" spans="5:17" x14ac:dyDescent="0.25">
      <c r="E144" s="2">
        <v>35</v>
      </c>
      <c r="F144" s="2">
        <v>74</v>
      </c>
      <c r="G144" s="2">
        <v>35</v>
      </c>
      <c r="H144" s="2">
        <v>36</v>
      </c>
      <c r="I144" s="2">
        <v>5.75</v>
      </c>
      <c r="J144" s="2">
        <v>2.3076923076923075</v>
      </c>
      <c r="K144" s="2">
        <v>6.1958004960603956</v>
      </c>
      <c r="L144" s="2">
        <v>0.92804795823495956</v>
      </c>
      <c r="M144" s="2">
        <v>0.37246071902406402</v>
      </c>
      <c r="O144" s="2">
        <v>18</v>
      </c>
      <c r="P144" s="2">
        <v>51.75</v>
      </c>
      <c r="Q144" s="2">
        <v>5.8823529411764701</v>
      </c>
    </row>
    <row r="145" spans="5:17" x14ac:dyDescent="0.25">
      <c r="E145" s="2">
        <v>36</v>
      </c>
      <c r="F145" s="2">
        <v>18</v>
      </c>
      <c r="G145" s="2">
        <v>36</v>
      </c>
      <c r="H145" s="2">
        <v>34</v>
      </c>
      <c r="I145" s="2">
        <v>-5.75</v>
      </c>
      <c r="J145" s="2">
        <v>0.91811414392059554</v>
      </c>
      <c r="K145" s="2">
        <v>5.8228372449577401</v>
      </c>
      <c r="L145" s="2">
        <v>-0.98749110753167402</v>
      </c>
      <c r="M145" s="2">
        <v>0.15767470483837281</v>
      </c>
      <c r="O145" s="2">
        <v>21</v>
      </c>
      <c r="P145" s="2">
        <v>57.5</v>
      </c>
      <c r="Q145" s="2">
        <v>0</v>
      </c>
    </row>
    <row r="146" spans="5:17" x14ac:dyDescent="0.25">
      <c r="E146" s="2">
        <v>36</v>
      </c>
      <c r="F146" s="2">
        <v>19</v>
      </c>
      <c r="G146" s="2">
        <v>36</v>
      </c>
      <c r="H146" s="2">
        <v>38</v>
      </c>
      <c r="I146" s="2">
        <v>5.75</v>
      </c>
      <c r="J146" s="2">
        <v>-0.97435897435897423</v>
      </c>
      <c r="K146" s="2">
        <v>5.8319701140278379</v>
      </c>
      <c r="L146" s="2">
        <v>0.98594469580173727</v>
      </c>
      <c r="M146" s="2">
        <v>-0.16707201088279158</v>
      </c>
      <c r="O146" s="2">
        <v>19</v>
      </c>
      <c r="P146" s="2">
        <v>51.75</v>
      </c>
      <c r="Q146" s="2">
        <v>0</v>
      </c>
    </row>
    <row r="147" spans="5:17" x14ac:dyDescent="0.25">
      <c r="E147" s="2">
        <v>36</v>
      </c>
      <c r="F147" s="2">
        <v>74</v>
      </c>
      <c r="G147" s="2">
        <v>36</v>
      </c>
      <c r="H147" s="2">
        <v>35</v>
      </c>
      <c r="I147" s="2">
        <v>-5.75</v>
      </c>
      <c r="J147" s="2">
        <v>-2.3076923076923075</v>
      </c>
      <c r="K147" s="2">
        <v>6.1958004960603956</v>
      </c>
      <c r="L147" s="2">
        <v>-0.92804795823495956</v>
      </c>
      <c r="M147" s="2">
        <v>-0.37246071902406402</v>
      </c>
      <c r="O147" s="2">
        <v>21</v>
      </c>
      <c r="P147" s="2">
        <v>57.5</v>
      </c>
      <c r="Q147" s="2">
        <v>0</v>
      </c>
    </row>
    <row r="148" spans="5:17" x14ac:dyDescent="0.25">
      <c r="E148" s="2">
        <v>36</v>
      </c>
      <c r="F148" s="2">
        <v>75</v>
      </c>
      <c r="G148" s="2">
        <v>36</v>
      </c>
      <c r="H148" s="2">
        <v>37</v>
      </c>
      <c r="I148" s="2">
        <v>0</v>
      </c>
      <c r="J148" s="2">
        <v>-2.3076923076923075</v>
      </c>
      <c r="K148" s="2">
        <v>2.3076923076923075</v>
      </c>
      <c r="L148" s="2">
        <v>0</v>
      </c>
      <c r="M148" s="2">
        <v>-1</v>
      </c>
      <c r="O148" s="2">
        <v>19</v>
      </c>
      <c r="P148" s="2">
        <v>51.75</v>
      </c>
      <c r="Q148" s="2">
        <v>0</v>
      </c>
    </row>
    <row r="149" spans="5:17" x14ac:dyDescent="0.25">
      <c r="E149" s="2">
        <v>37</v>
      </c>
      <c r="F149" s="2">
        <v>22</v>
      </c>
      <c r="G149" s="2">
        <v>37</v>
      </c>
      <c r="H149" s="2">
        <v>39</v>
      </c>
      <c r="I149" s="2">
        <v>5.75</v>
      </c>
      <c r="J149" s="2">
        <v>0</v>
      </c>
      <c r="K149" s="2">
        <v>5.75</v>
      </c>
      <c r="L149" s="2">
        <v>1</v>
      </c>
      <c r="M149" s="2">
        <v>0</v>
      </c>
      <c r="O149" s="2">
        <v>17</v>
      </c>
      <c r="P149" s="2">
        <v>46</v>
      </c>
      <c r="Q149" s="2">
        <v>0</v>
      </c>
    </row>
    <row r="150" spans="5:17" x14ac:dyDescent="0.25">
      <c r="E150" s="2">
        <v>37</v>
      </c>
      <c r="F150" s="2">
        <v>23</v>
      </c>
      <c r="G150" s="2">
        <v>37</v>
      </c>
      <c r="H150" s="2">
        <v>35</v>
      </c>
      <c r="I150" s="2">
        <v>-5.75</v>
      </c>
      <c r="J150" s="2">
        <v>0</v>
      </c>
      <c r="K150" s="2">
        <v>5.75</v>
      </c>
      <c r="L150" s="2">
        <v>-1</v>
      </c>
      <c r="M150" s="2">
        <v>0</v>
      </c>
      <c r="O150" s="2">
        <v>19</v>
      </c>
      <c r="P150" s="2">
        <v>51.75</v>
      </c>
      <c r="Q150" s="2">
        <v>0</v>
      </c>
    </row>
    <row r="151" spans="5:17" x14ac:dyDescent="0.25">
      <c r="E151" s="2">
        <v>37</v>
      </c>
      <c r="F151" s="2">
        <v>75</v>
      </c>
      <c r="G151" s="2">
        <v>37</v>
      </c>
      <c r="H151" s="2">
        <v>36</v>
      </c>
      <c r="I151" s="2">
        <v>0</v>
      </c>
      <c r="J151" s="2">
        <v>2.3076923076923075</v>
      </c>
      <c r="K151" s="2">
        <v>2.3076923076923075</v>
      </c>
      <c r="L151" s="2">
        <v>0</v>
      </c>
      <c r="M151" s="2">
        <v>1</v>
      </c>
      <c r="O151" s="2">
        <v>16</v>
      </c>
      <c r="P151" s="2">
        <v>46</v>
      </c>
      <c r="Q151" s="2">
        <v>5.6603773584905657</v>
      </c>
    </row>
    <row r="152" spans="5:17" x14ac:dyDescent="0.25">
      <c r="E152" s="2">
        <v>37</v>
      </c>
      <c r="F152" s="2">
        <v>76</v>
      </c>
      <c r="G152" s="2">
        <v>37</v>
      </c>
      <c r="H152" s="2">
        <v>38</v>
      </c>
      <c r="I152" s="2">
        <v>5.75</v>
      </c>
      <c r="J152" s="2">
        <v>1.3333333333333333</v>
      </c>
      <c r="K152" s="2">
        <v>5.9025653556549269</v>
      </c>
      <c r="L152" s="2">
        <v>0.97415270370386287</v>
      </c>
      <c r="M152" s="2">
        <v>0.22589048201828704</v>
      </c>
      <c r="O152" s="2">
        <v>19</v>
      </c>
      <c r="P152" s="2">
        <v>51.75</v>
      </c>
      <c r="Q152" s="2">
        <v>0</v>
      </c>
    </row>
    <row r="153" spans="5:17" x14ac:dyDescent="0.25">
      <c r="E153" s="2">
        <v>38</v>
      </c>
      <c r="F153" s="2">
        <v>19</v>
      </c>
      <c r="G153" s="2">
        <v>38</v>
      </c>
      <c r="H153" s="2">
        <v>36</v>
      </c>
      <c r="I153" s="2">
        <v>-5.75</v>
      </c>
      <c r="J153" s="2">
        <v>0.97435897435897423</v>
      </c>
      <c r="K153" s="2">
        <v>5.8319701140278379</v>
      </c>
      <c r="L153" s="2">
        <v>-0.98594469580173727</v>
      </c>
      <c r="M153" s="2">
        <v>0.16707201088279158</v>
      </c>
      <c r="O153" s="2">
        <v>18</v>
      </c>
      <c r="P153" s="2">
        <v>51.75</v>
      </c>
      <c r="Q153" s="2">
        <v>5.8823529411764701</v>
      </c>
    </row>
    <row r="154" spans="5:17" x14ac:dyDescent="0.25">
      <c r="E154" s="2">
        <v>38</v>
      </c>
      <c r="F154" s="2">
        <v>20</v>
      </c>
      <c r="G154" s="2">
        <v>38</v>
      </c>
      <c r="H154" s="2">
        <v>40</v>
      </c>
      <c r="I154" s="2">
        <v>5.75</v>
      </c>
      <c r="J154" s="2">
        <v>-1.3333333333333333</v>
      </c>
      <c r="K154" s="2">
        <v>5.9025653556549269</v>
      </c>
      <c r="L154" s="2">
        <v>0.97415270370386287</v>
      </c>
      <c r="M154" s="2">
        <v>-0.22589048201828704</v>
      </c>
      <c r="O154" s="2">
        <v>20</v>
      </c>
      <c r="P154" s="2">
        <v>57.5</v>
      </c>
      <c r="Q154" s="2">
        <v>6</v>
      </c>
    </row>
    <row r="155" spans="5:17" x14ac:dyDescent="0.25">
      <c r="E155" s="2">
        <v>38</v>
      </c>
      <c r="F155" s="2">
        <v>76</v>
      </c>
      <c r="G155" s="2">
        <v>38</v>
      </c>
      <c r="H155" s="2">
        <v>37</v>
      </c>
      <c r="I155" s="2">
        <v>-5.75</v>
      </c>
      <c r="J155" s="2">
        <v>-1.3333333333333333</v>
      </c>
      <c r="K155" s="2">
        <v>5.9025653556549269</v>
      </c>
      <c r="L155" s="2">
        <v>-0.97415270370386287</v>
      </c>
      <c r="M155" s="2">
        <v>-0.22589048201828704</v>
      </c>
      <c r="O155" s="2">
        <v>18</v>
      </c>
      <c r="P155" s="2">
        <v>51.75</v>
      </c>
      <c r="Q155" s="2">
        <v>5.8823529411764701</v>
      </c>
    </row>
    <row r="156" spans="5:17" x14ac:dyDescent="0.25">
      <c r="E156" s="2">
        <v>38</v>
      </c>
      <c r="F156" s="2">
        <v>77</v>
      </c>
      <c r="G156" s="2">
        <v>38</v>
      </c>
      <c r="H156" s="2">
        <v>39</v>
      </c>
      <c r="I156" s="2">
        <v>0</v>
      </c>
      <c r="J156" s="2">
        <v>-1.3333333333333333</v>
      </c>
      <c r="K156" s="2">
        <v>1.3333333333333333</v>
      </c>
      <c r="L156" s="2">
        <v>0</v>
      </c>
      <c r="M156" s="2">
        <v>-1</v>
      </c>
      <c r="O156" s="2">
        <v>20</v>
      </c>
      <c r="P156" s="2">
        <v>57.5</v>
      </c>
      <c r="Q156" s="2">
        <v>6</v>
      </c>
    </row>
    <row r="157" spans="5:17" x14ac:dyDescent="0.25">
      <c r="E157" s="2">
        <v>39</v>
      </c>
      <c r="F157" s="2">
        <v>21</v>
      </c>
      <c r="G157" s="2">
        <v>39</v>
      </c>
      <c r="H157" s="2">
        <v>40</v>
      </c>
      <c r="I157" s="2">
        <v>5.75</v>
      </c>
      <c r="J157" s="2">
        <v>0</v>
      </c>
      <c r="K157" s="2">
        <v>5.75</v>
      </c>
      <c r="L157" s="2">
        <v>1</v>
      </c>
      <c r="M157" s="2">
        <v>0</v>
      </c>
      <c r="O157" s="2">
        <v>22</v>
      </c>
      <c r="P157" s="2">
        <v>63.25</v>
      </c>
      <c r="Q157" s="2">
        <v>5.8823529411764701</v>
      </c>
    </row>
    <row r="158" spans="5:17" x14ac:dyDescent="0.25">
      <c r="E158" s="2">
        <v>39</v>
      </c>
      <c r="F158" s="2">
        <v>22</v>
      </c>
      <c r="G158" s="2">
        <v>39</v>
      </c>
      <c r="H158" s="2">
        <v>37</v>
      </c>
      <c r="I158" s="2">
        <v>-5.75</v>
      </c>
      <c r="J158" s="2">
        <v>0</v>
      </c>
      <c r="K158" s="2">
        <v>5.75</v>
      </c>
      <c r="L158" s="2">
        <v>-1</v>
      </c>
      <c r="M158" s="2">
        <v>0</v>
      </c>
      <c r="O158" s="2">
        <v>20</v>
      </c>
      <c r="P158" s="2">
        <v>57.5</v>
      </c>
      <c r="Q158" s="2">
        <v>6</v>
      </c>
    </row>
    <row r="159" spans="5:17" x14ac:dyDescent="0.25">
      <c r="E159" s="2">
        <v>39</v>
      </c>
      <c r="F159" s="2">
        <v>77</v>
      </c>
      <c r="G159" s="2">
        <v>39</v>
      </c>
      <c r="H159" s="2">
        <v>38</v>
      </c>
      <c r="I159" s="2">
        <v>0</v>
      </c>
      <c r="J159" s="2">
        <v>1.3333333333333333</v>
      </c>
      <c r="K159" s="2">
        <v>1.3333333333333333</v>
      </c>
      <c r="L159" s="2">
        <v>0</v>
      </c>
      <c r="M159" s="2">
        <v>1</v>
      </c>
      <c r="O159" s="2">
        <v>21</v>
      </c>
      <c r="P159" s="2">
        <v>57.5</v>
      </c>
      <c r="Q159" s="2">
        <v>0</v>
      </c>
    </row>
    <row r="160" spans="5:17" x14ac:dyDescent="0.25">
      <c r="E160" s="2">
        <v>40</v>
      </c>
      <c r="F160" s="2">
        <v>20</v>
      </c>
      <c r="G160" s="2">
        <v>40</v>
      </c>
      <c r="H160" s="2">
        <v>38</v>
      </c>
      <c r="I160" s="2">
        <v>-5.75</v>
      </c>
      <c r="J160" s="2">
        <v>1.3333333333333333</v>
      </c>
      <c r="K160" s="2">
        <v>5.9025653556549269</v>
      </c>
      <c r="L160" s="2">
        <v>-0.97415270370386287</v>
      </c>
      <c r="M160" s="2">
        <v>0.22589048201828704</v>
      </c>
      <c r="O160" s="2">
        <v>21</v>
      </c>
      <c r="P160" s="2">
        <v>57.5</v>
      </c>
      <c r="Q160" s="2">
        <v>0</v>
      </c>
    </row>
    <row r="161" spans="5:17" x14ac:dyDescent="0.25">
      <c r="E161" s="2">
        <v>40</v>
      </c>
      <c r="F161" s="2">
        <v>21</v>
      </c>
      <c r="G161" s="2">
        <v>40</v>
      </c>
      <c r="H161" s="2">
        <v>39</v>
      </c>
      <c r="I161" s="2">
        <v>-5.75</v>
      </c>
      <c r="J161" s="2">
        <v>0</v>
      </c>
      <c r="K161" s="2">
        <v>5.75</v>
      </c>
      <c r="L161" s="2">
        <v>-1</v>
      </c>
      <c r="M161" s="2">
        <v>0</v>
      </c>
      <c r="O161" s="2">
        <v>23</v>
      </c>
      <c r="P161" s="2">
        <v>63.25</v>
      </c>
      <c r="Q161" s="2">
        <v>0</v>
      </c>
    </row>
    <row r="162" spans="5:17" x14ac:dyDescent="0.25">
      <c r="O162" s="2">
        <v>21</v>
      </c>
      <c r="P162" s="2">
        <v>57.5</v>
      </c>
      <c r="Q162" s="2">
        <v>0</v>
      </c>
    </row>
    <row r="163" spans="5:17" x14ac:dyDescent="0.25">
      <c r="O163" s="2">
        <v>19</v>
      </c>
      <c r="P163" s="2">
        <v>51.75</v>
      </c>
      <c r="Q163" s="2">
        <v>0</v>
      </c>
    </row>
    <row r="164" spans="5:17" x14ac:dyDescent="0.25">
      <c r="O164" s="2">
        <v>21</v>
      </c>
      <c r="P164" s="2">
        <v>57.5</v>
      </c>
      <c r="Q164" s="2">
        <v>0</v>
      </c>
    </row>
    <row r="165" spans="5:17" x14ac:dyDescent="0.25">
      <c r="O165" s="2">
        <v>18</v>
      </c>
      <c r="P165" s="2">
        <v>51.75</v>
      </c>
      <c r="Q165" s="2">
        <v>5.8823529411764701</v>
      </c>
    </row>
    <row r="166" spans="5:17" x14ac:dyDescent="0.25">
      <c r="O166" s="2">
        <v>21</v>
      </c>
      <c r="P166" s="2">
        <v>57.5</v>
      </c>
      <c r="Q166" s="2">
        <v>0</v>
      </c>
    </row>
    <row r="167" spans="5:17" x14ac:dyDescent="0.25">
      <c r="O167" s="2">
        <v>20</v>
      </c>
      <c r="P167" s="2">
        <v>57.5</v>
      </c>
      <c r="Q167" s="2">
        <v>6</v>
      </c>
    </row>
    <row r="168" spans="5:17" x14ac:dyDescent="0.25">
      <c r="O168" s="2">
        <v>21</v>
      </c>
      <c r="P168" s="2">
        <v>57.5</v>
      </c>
      <c r="Q168" s="2">
        <v>0</v>
      </c>
    </row>
    <row r="169" spans="5:17" x14ac:dyDescent="0.25">
      <c r="O169" s="2">
        <v>22</v>
      </c>
      <c r="P169" s="2">
        <v>63.25</v>
      </c>
      <c r="Q169" s="2">
        <v>5.8823529411764701</v>
      </c>
    </row>
    <row r="170" spans="5:17" x14ac:dyDescent="0.25">
      <c r="O170" s="2">
        <v>22</v>
      </c>
      <c r="P170" s="2">
        <v>63.25</v>
      </c>
      <c r="Q170" s="2">
        <v>5.8823529411764701</v>
      </c>
    </row>
    <row r="171" spans="5:17" x14ac:dyDescent="0.25">
      <c r="O171" s="2">
        <v>20</v>
      </c>
      <c r="P171" s="2">
        <v>57.5</v>
      </c>
      <c r="Q171" s="2">
        <v>6</v>
      </c>
    </row>
    <row r="172" spans="5:17" x14ac:dyDescent="0.25">
      <c r="O172" s="2">
        <v>22</v>
      </c>
      <c r="P172" s="2">
        <v>63.25</v>
      </c>
      <c r="Q172" s="2">
        <v>5.8823529411764701</v>
      </c>
    </row>
    <row r="173" spans="5:17" x14ac:dyDescent="0.25">
      <c r="O173" s="2">
        <v>24</v>
      </c>
      <c r="P173" s="2">
        <v>69</v>
      </c>
      <c r="Q173" s="2">
        <v>5.6603773584905657</v>
      </c>
    </row>
    <row r="174" spans="5:17" x14ac:dyDescent="0.25">
      <c r="O174" s="2">
        <v>22</v>
      </c>
      <c r="P174" s="2">
        <v>63.25</v>
      </c>
      <c r="Q174" s="2">
        <v>5.8823529411764701</v>
      </c>
    </row>
    <row r="175" spans="5:17" x14ac:dyDescent="0.25">
      <c r="O175" s="2">
        <v>21</v>
      </c>
      <c r="P175" s="2">
        <v>57.5</v>
      </c>
      <c r="Q175" s="2">
        <v>0</v>
      </c>
    </row>
    <row r="176" spans="5:17" x14ac:dyDescent="0.25">
      <c r="O176" s="2">
        <v>22</v>
      </c>
      <c r="P176" s="2">
        <v>63.25</v>
      </c>
      <c r="Q176" s="2">
        <v>5.8823529411764701</v>
      </c>
    </row>
    <row r="177" spans="15:17" x14ac:dyDescent="0.25">
      <c r="O177" s="2">
        <v>23</v>
      </c>
      <c r="P177" s="2">
        <v>63.25</v>
      </c>
      <c r="Q177" s="2">
        <v>0</v>
      </c>
    </row>
    <row r="178" spans="15:17" x14ac:dyDescent="0.25">
      <c r="O178" s="2">
        <v>23</v>
      </c>
      <c r="P178" s="2">
        <v>63.25</v>
      </c>
      <c r="Q178" s="2">
        <v>0</v>
      </c>
    </row>
    <row r="179" spans="15:17" x14ac:dyDescent="0.25">
      <c r="O179" s="2">
        <v>25</v>
      </c>
      <c r="P179" s="2">
        <v>69</v>
      </c>
      <c r="Q179" s="2">
        <v>0</v>
      </c>
    </row>
    <row r="180" spans="15:17" x14ac:dyDescent="0.25">
      <c r="O180" s="2">
        <v>23</v>
      </c>
      <c r="P180" s="2">
        <v>63.25</v>
      </c>
      <c r="Q180" s="2">
        <v>0</v>
      </c>
    </row>
    <row r="181" spans="15:17" x14ac:dyDescent="0.25">
      <c r="O181" s="2">
        <v>21</v>
      </c>
      <c r="P181" s="2">
        <v>57.5</v>
      </c>
      <c r="Q181" s="2">
        <v>0</v>
      </c>
    </row>
    <row r="182" spans="15:17" x14ac:dyDescent="0.25">
      <c r="O182" s="2">
        <v>23</v>
      </c>
      <c r="P182" s="2">
        <v>63.25</v>
      </c>
      <c r="Q182" s="2">
        <v>0</v>
      </c>
    </row>
    <row r="183" spans="15:17" x14ac:dyDescent="0.25">
      <c r="O183" s="2">
        <v>22</v>
      </c>
      <c r="P183" s="2">
        <v>63.25</v>
      </c>
      <c r="Q183" s="2">
        <v>5.8823529411764701</v>
      </c>
    </row>
    <row r="184" spans="15:17" x14ac:dyDescent="0.25">
      <c r="O184" s="2">
        <v>23</v>
      </c>
      <c r="P184" s="2">
        <v>63.25</v>
      </c>
      <c r="Q184" s="2">
        <v>0</v>
      </c>
    </row>
    <row r="185" spans="15:17" x14ac:dyDescent="0.25">
      <c r="O185" s="2">
        <v>24</v>
      </c>
      <c r="P185" s="2">
        <v>69</v>
      </c>
      <c r="Q185" s="2">
        <v>5.6603773584905657</v>
      </c>
    </row>
    <row r="186" spans="15:17" x14ac:dyDescent="0.25">
      <c r="O186" s="2">
        <v>24</v>
      </c>
      <c r="P186" s="2">
        <v>69</v>
      </c>
      <c r="Q186" s="2">
        <v>5.6603773584905657</v>
      </c>
    </row>
    <row r="187" spans="15:17" x14ac:dyDescent="0.25">
      <c r="O187" s="2">
        <v>22</v>
      </c>
      <c r="P187" s="2">
        <v>63.25</v>
      </c>
      <c r="Q187" s="2">
        <v>5.8823529411764701</v>
      </c>
    </row>
    <row r="188" spans="15:17" x14ac:dyDescent="0.25">
      <c r="O188" s="2">
        <v>24</v>
      </c>
      <c r="P188" s="2">
        <v>69</v>
      </c>
      <c r="Q188" s="2">
        <v>5.6603773584905657</v>
      </c>
    </row>
    <row r="189" spans="15:17" x14ac:dyDescent="0.25">
      <c r="O189" s="2">
        <v>26</v>
      </c>
      <c r="P189" s="2">
        <v>74.75</v>
      </c>
      <c r="Q189" s="2">
        <v>5.3571428571428568</v>
      </c>
    </row>
    <row r="190" spans="15:17" x14ac:dyDescent="0.25">
      <c r="O190" s="2">
        <v>24</v>
      </c>
      <c r="P190" s="2">
        <v>69</v>
      </c>
      <c r="Q190" s="2">
        <v>5.6603773584905657</v>
      </c>
    </row>
    <row r="191" spans="15:17" x14ac:dyDescent="0.25">
      <c r="O191" s="2">
        <v>23</v>
      </c>
      <c r="P191" s="2">
        <v>63.25</v>
      </c>
      <c r="Q191" s="2">
        <v>0</v>
      </c>
    </row>
    <row r="192" spans="15:17" x14ac:dyDescent="0.25">
      <c r="O192" s="2">
        <v>24</v>
      </c>
      <c r="P192" s="2">
        <v>69</v>
      </c>
      <c r="Q192" s="2">
        <v>5.6603773584905657</v>
      </c>
    </row>
    <row r="193" spans="15:17" x14ac:dyDescent="0.25">
      <c r="O193" s="2">
        <v>25</v>
      </c>
      <c r="P193" s="2">
        <v>69</v>
      </c>
      <c r="Q193" s="2">
        <v>0</v>
      </c>
    </row>
    <row r="194" spans="15:17" x14ac:dyDescent="0.25">
      <c r="O194" s="2">
        <v>25</v>
      </c>
      <c r="P194" s="2">
        <v>69</v>
      </c>
      <c r="Q194" s="2">
        <v>0</v>
      </c>
    </row>
    <row r="195" spans="15:17" x14ac:dyDescent="0.25">
      <c r="O195" s="2">
        <v>27</v>
      </c>
      <c r="P195" s="2">
        <v>74.75</v>
      </c>
      <c r="Q195" s="2">
        <v>0</v>
      </c>
    </row>
    <row r="196" spans="15:17" x14ac:dyDescent="0.25">
      <c r="O196" s="2">
        <v>25</v>
      </c>
      <c r="P196" s="2">
        <v>69</v>
      </c>
      <c r="Q196" s="2">
        <v>0</v>
      </c>
    </row>
    <row r="197" spans="15:17" x14ac:dyDescent="0.25">
      <c r="O197" s="2">
        <v>23</v>
      </c>
      <c r="P197" s="2">
        <v>63.25</v>
      </c>
      <c r="Q197" s="2">
        <v>0</v>
      </c>
    </row>
    <row r="198" spans="15:17" x14ac:dyDescent="0.25">
      <c r="O198" s="2">
        <v>25</v>
      </c>
      <c r="P198" s="2">
        <v>69</v>
      </c>
      <c r="Q198" s="2">
        <v>0</v>
      </c>
    </row>
    <row r="199" spans="15:17" x14ac:dyDescent="0.25">
      <c r="O199" s="2">
        <v>24</v>
      </c>
      <c r="P199" s="2">
        <v>69</v>
      </c>
      <c r="Q199" s="2">
        <v>5.6603773584905657</v>
      </c>
    </row>
    <row r="200" spans="15:17" x14ac:dyDescent="0.25">
      <c r="O200" s="2">
        <v>25</v>
      </c>
      <c r="P200" s="2">
        <v>69</v>
      </c>
      <c r="Q200" s="2">
        <v>0</v>
      </c>
    </row>
    <row r="201" spans="15:17" x14ac:dyDescent="0.25">
      <c r="O201" s="2">
        <v>26</v>
      </c>
      <c r="P201" s="2">
        <v>74.75</v>
      </c>
      <c r="Q201" s="2">
        <v>5.3571428571428568</v>
      </c>
    </row>
    <row r="202" spans="15:17" x14ac:dyDescent="0.25">
      <c r="O202" s="2">
        <v>26</v>
      </c>
      <c r="P202" s="2">
        <v>74.75</v>
      </c>
      <c r="Q202" s="2">
        <v>5.3571428571428568</v>
      </c>
    </row>
    <row r="203" spans="15:17" x14ac:dyDescent="0.25">
      <c r="O203" s="2">
        <v>24</v>
      </c>
      <c r="P203" s="2">
        <v>69</v>
      </c>
      <c r="Q203" s="2">
        <v>5.6603773584905657</v>
      </c>
    </row>
    <row r="204" spans="15:17" x14ac:dyDescent="0.25">
      <c r="O204" s="2">
        <v>26</v>
      </c>
      <c r="P204" s="2">
        <v>74.75</v>
      </c>
      <c r="Q204" s="2">
        <v>5.3571428571428568</v>
      </c>
    </row>
    <row r="205" spans="15:17" x14ac:dyDescent="0.25">
      <c r="O205" s="2">
        <v>28</v>
      </c>
      <c r="P205" s="2">
        <v>80.5</v>
      </c>
      <c r="Q205" s="2">
        <v>5</v>
      </c>
    </row>
    <row r="206" spans="15:17" x14ac:dyDescent="0.25">
      <c r="O206" s="2">
        <v>26</v>
      </c>
      <c r="P206" s="2">
        <v>74.75</v>
      </c>
      <c r="Q206" s="2">
        <v>5.3571428571428568</v>
      </c>
    </row>
    <row r="207" spans="15:17" x14ac:dyDescent="0.25">
      <c r="O207" s="2">
        <v>25</v>
      </c>
      <c r="P207" s="2">
        <v>69</v>
      </c>
      <c r="Q207" s="2">
        <v>0</v>
      </c>
    </row>
    <row r="208" spans="15:17" x14ac:dyDescent="0.25">
      <c r="O208" s="2">
        <v>26</v>
      </c>
      <c r="P208" s="2">
        <v>74.75</v>
      </c>
      <c r="Q208" s="2">
        <v>5.3571428571428568</v>
      </c>
    </row>
    <row r="209" spans="15:17" x14ac:dyDescent="0.25">
      <c r="O209" s="2">
        <v>27</v>
      </c>
      <c r="P209" s="2">
        <v>74.75</v>
      </c>
      <c r="Q209" s="2">
        <v>0</v>
      </c>
    </row>
    <row r="210" spans="15:17" x14ac:dyDescent="0.25">
      <c r="O210" s="2">
        <v>27</v>
      </c>
      <c r="P210" s="2">
        <v>74.75</v>
      </c>
      <c r="Q210" s="2">
        <v>0</v>
      </c>
    </row>
    <row r="211" spans="15:17" x14ac:dyDescent="0.25">
      <c r="O211" s="2">
        <v>29</v>
      </c>
      <c r="P211" s="2">
        <v>80.5</v>
      </c>
      <c r="Q211" s="2">
        <v>0</v>
      </c>
    </row>
    <row r="212" spans="15:17" x14ac:dyDescent="0.25">
      <c r="O212" s="2">
        <v>27</v>
      </c>
      <c r="P212" s="2">
        <v>74.75</v>
      </c>
      <c r="Q212" s="2">
        <v>0</v>
      </c>
    </row>
    <row r="213" spans="15:17" x14ac:dyDescent="0.25">
      <c r="O213" s="2">
        <v>25</v>
      </c>
      <c r="P213" s="2">
        <v>69</v>
      </c>
      <c r="Q213" s="2">
        <v>0</v>
      </c>
    </row>
    <row r="214" spans="15:17" x14ac:dyDescent="0.25">
      <c r="O214" s="2">
        <v>27</v>
      </c>
      <c r="P214" s="2">
        <v>74.75</v>
      </c>
      <c r="Q214" s="2">
        <v>0</v>
      </c>
    </row>
    <row r="215" spans="15:17" x14ac:dyDescent="0.25">
      <c r="O215" s="2">
        <v>26</v>
      </c>
      <c r="P215" s="2">
        <v>74.75</v>
      </c>
      <c r="Q215" s="2">
        <v>5.3571428571428568</v>
      </c>
    </row>
    <row r="216" spans="15:17" x14ac:dyDescent="0.25">
      <c r="O216" s="2">
        <v>27</v>
      </c>
      <c r="P216" s="2">
        <v>74.75</v>
      </c>
      <c r="Q216" s="2">
        <v>0</v>
      </c>
    </row>
    <row r="217" spans="15:17" x14ac:dyDescent="0.25">
      <c r="O217" s="2">
        <v>28</v>
      </c>
      <c r="P217" s="2">
        <v>80.5</v>
      </c>
      <c r="Q217" s="2">
        <v>5</v>
      </c>
    </row>
    <row r="218" spans="15:17" x14ac:dyDescent="0.25">
      <c r="O218" s="2">
        <v>28</v>
      </c>
      <c r="P218" s="2">
        <v>80.5</v>
      </c>
      <c r="Q218" s="2">
        <v>5</v>
      </c>
    </row>
    <row r="219" spans="15:17" x14ac:dyDescent="0.25">
      <c r="O219" s="2">
        <v>26</v>
      </c>
      <c r="P219" s="2">
        <v>74.75</v>
      </c>
      <c r="Q219" s="2">
        <v>5.3571428571428568</v>
      </c>
    </row>
    <row r="220" spans="15:17" x14ac:dyDescent="0.25">
      <c r="O220" s="2">
        <v>28</v>
      </c>
      <c r="P220" s="2">
        <v>80.5</v>
      </c>
      <c r="Q220" s="2">
        <v>5</v>
      </c>
    </row>
    <row r="221" spans="15:17" x14ac:dyDescent="0.25">
      <c r="O221" s="2">
        <v>30</v>
      </c>
      <c r="P221" s="2">
        <v>86.25</v>
      </c>
      <c r="Q221" s="2">
        <v>4.615384615384615</v>
      </c>
    </row>
    <row r="222" spans="15:17" x14ac:dyDescent="0.25">
      <c r="O222" s="2">
        <v>28</v>
      </c>
      <c r="P222" s="2">
        <v>80.5</v>
      </c>
      <c r="Q222" s="2">
        <v>5</v>
      </c>
    </row>
    <row r="223" spans="15:17" x14ac:dyDescent="0.25">
      <c r="O223" s="2">
        <v>27</v>
      </c>
      <c r="P223" s="2">
        <v>74.75</v>
      </c>
      <c r="Q223" s="2">
        <v>0</v>
      </c>
    </row>
    <row r="224" spans="15:17" x14ac:dyDescent="0.25">
      <c r="O224" s="2">
        <v>28</v>
      </c>
      <c r="P224" s="2">
        <v>80.5</v>
      </c>
      <c r="Q224" s="2">
        <v>5</v>
      </c>
    </row>
    <row r="225" spans="15:17" x14ac:dyDescent="0.25">
      <c r="O225" s="2">
        <v>29</v>
      </c>
      <c r="P225" s="2">
        <v>80.5</v>
      </c>
      <c r="Q225" s="2">
        <v>0</v>
      </c>
    </row>
    <row r="226" spans="15:17" x14ac:dyDescent="0.25">
      <c r="O226" s="2">
        <v>29</v>
      </c>
      <c r="P226" s="2">
        <v>80.5</v>
      </c>
      <c r="Q226" s="2">
        <v>0</v>
      </c>
    </row>
    <row r="227" spans="15:17" x14ac:dyDescent="0.25">
      <c r="O227" s="2">
        <v>31</v>
      </c>
      <c r="P227" s="2">
        <v>86.25</v>
      </c>
      <c r="Q227" s="2">
        <v>0</v>
      </c>
    </row>
    <row r="228" spans="15:17" x14ac:dyDescent="0.25">
      <c r="O228" s="2">
        <v>29</v>
      </c>
      <c r="P228" s="2">
        <v>80.5</v>
      </c>
      <c r="Q228" s="2">
        <v>0</v>
      </c>
    </row>
    <row r="229" spans="15:17" x14ac:dyDescent="0.25">
      <c r="O229" s="2">
        <v>27</v>
      </c>
      <c r="P229" s="2">
        <v>74.75</v>
      </c>
      <c r="Q229" s="2">
        <v>0</v>
      </c>
    </row>
    <row r="230" spans="15:17" x14ac:dyDescent="0.25">
      <c r="O230" s="2">
        <v>29</v>
      </c>
      <c r="P230" s="2">
        <v>80.5</v>
      </c>
      <c r="Q230" s="2">
        <v>0</v>
      </c>
    </row>
    <row r="231" spans="15:17" x14ac:dyDescent="0.25">
      <c r="O231" s="2">
        <v>28</v>
      </c>
      <c r="P231" s="2">
        <v>80.5</v>
      </c>
      <c r="Q231" s="2">
        <v>5</v>
      </c>
    </row>
    <row r="232" spans="15:17" x14ac:dyDescent="0.25">
      <c r="O232" s="2">
        <v>29</v>
      </c>
      <c r="P232" s="2">
        <v>80.5</v>
      </c>
      <c r="Q232" s="2">
        <v>0</v>
      </c>
    </row>
    <row r="233" spans="15:17" x14ac:dyDescent="0.25">
      <c r="O233" s="2">
        <v>30</v>
      </c>
      <c r="P233" s="2">
        <v>86.25</v>
      </c>
      <c r="Q233" s="2">
        <v>4.615384615384615</v>
      </c>
    </row>
    <row r="234" spans="15:17" x14ac:dyDescent="0.25">
      <c r="O234" s="2">
        <v>30</v>
      </c>
      <c r="P234" s="2">
        <v>86.25</v>
      </c>
      <c r="Q234" s="2">
        <v>4.615384615384615</v>
      </c>
    </row>
    <row r="235" spans="15:17" x14ac:dyDescent="0.25">
      <c r="O235" s="2">
        <v>28</v>
      </c>
      <c r="P235" s="2">
        <v>80.5</v>
      </c>
      <c r="Q235" s="2">
        <v>5</v>
      </c>
    </row>
    <row r="236" spans="15:17" x14ac:dyDescent="0.25">
      <c r="O236" s="2">
        <v>30</v>
      </c>
      <c r="P236" s="2">
        <v>86.25</v>
      </c>
      <c r="Q236" s="2">
        <v>4.615384615384615</v>
      </c>
    </row>
    <row r="237" spans="15:17" x14ac:dyDescent="0.25">
      <c r="O237" s="2">
        <v>32</v>
      </c>
      <c r="P237" s="2">
        <v>92</v>
      </c>
      <c r="Q237" s="2">
        <v>4</v>
      </c>
    </row>
    <row r="238" spans="15:17" x14ac:dyDescent="0.25">
      <c r="O238" s="2">
        <v>30</v>
      </c>
      <c r="P238" s="2">
        <v>86.25</v>
      </c>
      <c r="Q238" s="2">
        <v>4.615384615384615</v>
      </c>
    </row>
    <row r="239" spans="15:17" x14ac:dyDescent="0.25">
      <c r="O239" s="2">
        <v>29</v>
      </c>
      <c r="P239" s="2">
        <v>80.5</v>
      </c>
      <c r="Q239" s="2">
        <v>0</v>
      </c>
    </row>
    <row r="240" spans="15:17" x14ac:dyDescent="0.25">
      <c r="O240" s="2">
        <v>30</v>
      </c>
      <c r="P240" s="2">
        <v>86.25</v>
      </c>
      <c r="Q240" s="2">
        <v>4.615384615384615</v>
      </c>
    </row>
    <row r="241" spans="15:17" x14ac:dyDescent="0.25">
      <c r="O241" s="2">
        <v>31</v>
      </c>
      <c r="P241" s="2">
        <v>86.25</v>
      </c>
      <c r="Q241" s="2">
        <v>0</v>
      </c>
    </row>
    <row r="242" spans="15:17" x14ac:dyDescent="0.25">
      <c r="O242" s="2">
        <v>31</v>
      </c>
      <c r="P242" s="2">
        <v>86.25</v>
      </c>
      <c r="Q242" s="2">
        <v>0</v>
      </c>
    </row>
    <row r="243" spans="15:17" x14ac:dyDescent="0.25">
      <c r="O243" s="2">
        <v>33</v>
      </c>
      <c r="P243" s="2">
        <v>92</v>
      </c>
      <c r="Q243" s="2">
        <v>0</v>
      </c>
    </row>
    <row r="244" spans="15:17" x14ac:dyDescent="0.25">
      <c r="O244" s="2">
        <v>31</v>
      </c>
      <c r="P244" s="2">
        <v>86.25</v>
      </c>
      <c r="Q244" s="2">
        <v>0</v>
      </c>
    </row>
    <row r="245" spans="15:17" x14ac:dyDescent="0.25">
      <c r="O245" s="2">
        <v>29</v>
      </c>
      <c r="P245" s="2">
        <v>80.5</v>
      </c>
      <c r="Q245" s="2">
        <v>0</v>
      </c>
    </row>
    <row r="246" spans="15:17" x14ac:dyDescent="0.25">
      <c r="O246" s="2">
        <v>31</v>
      </c>
      <c r="P246" s="2">
        <v>86.25</v>
      </c>
      <c r="Q246" s="2">
        <v>0</v>
      </c>
    </row>
    <row r="247" spans="15:17" x14ac:dyDescent="0.25">
      <c r="O247" s="2">
        <v>30</v>
      </c>
      <c r="P247" s="2">
        <v>86.25</v>
      </c>
      <c r="Q247" s="2">
        <v>4.615384615384615</v>
      </c>
    </row>
    <row r="248" spans="15:17" x14ac:dyDescent="0.25">
      <c r="O248" s="2">
        <v>31</v>
      </c>
      <c r="P248" s="2">
        <v>86.25</v>
      </c>
      <c r="Q248" s="2">
        <v>0</v>
      </c>
    </row>
    <row r="249" spans="15:17" x14ac:dyDescent="0.25">
      <c r="O249" s="2">
        <v>32</v>
      </c>
      <c r="P249" s="2">
        <v>92</v>
      </c>
      <c r="Q249" s="2">
        <v>4</v>
      </c>
    </row>
    <row r="250" spans="15:17" x14ac:dyDescent="0.25">
      <c r="O250" s="2">
        <v>32</v>
      </c>
      <c r="P250" s="2">
        <v>92</v>
      </c>
      <c r="Q250" s="2">
        <v>4</v>
      </c>
    </row>
    <row r="251" spans="15:17" x14ac:dyDescent="0.25">
      <c r="O251" s="2">
        <v>30</v>
      </c>
      <c r="P251" s="2">
        <v>86.25</v>
      </c>
      <c r="Q251" s="2">
        <v>4.615384615384615</v>
      </c>
    </row>
    <row r="252" spans="15:17" x14ac:dyDescent="0.25">
      <c r="O252" s="2">
        <v>32</v>
      </c>
      <c r="P252" s="2">
        <v>92</v>
      </c>
      <c r="Q252" s="2">
        <v>4</v>
      </c>
    </row>
    <row r="253" spans="15:17" x14ac:dyDescent="0.25">
      <c r="O253" s="2">
        <v>34</v>
      </c>
      <c r="P253" s="2">
        <v>97.75</v>
      </c>
      <c r="Q253" s="2">
        <v>3.225806451612903</v>
      </c>
    </row>
    <row r="254" spans="15:17" x14ac:dyDescent="0.25">
      <c r="O254" s="2">
        <v>32</v>
      </c>
      <c r="P254" s="2">
        <v>92</v>
      </c>
      <c r="Q254" s="2">
        <v>4</v>
      </c>
    </row>
    <row r="255" spans="15:17" x14ac:dyDescent="0.25">
      <c r="O255" s="2">
        <v>31</v>
      </c>
      <c r="P255" s="2">
        <v>86.25</v>
      </c>
      <c r="Q255" s="2">
        <v>0</v>
      </c>
    </row>
    <row r="256" spans="15:17" x14ac:dyDescent="0.25">
      <c r="O256" s="2">
        <v>32</v>
      </c>
      <c r="P256" s="2">
        <v>92</v>
      </c>
      <c r="Q256" s="2">
        <v>4</v>
      </c>
    </row>
    <row r="257" spans="15:17" x14ac:dyDescent="0.25">
      <c r="O257" s="2">
        <v>33</v>
      </c>
      <c r="P257" s="2">
        <v>92</v>
      </c>
      <c r="Q257" s="2">
        <v>0</v>
      </c>
    </row>
    <row r="258" spans="15:17" x14ac:dyDescent="0.25">
      <c r="O258" s="2">
        <v>33</v>
      </c>
      <c r="P258" s="2">
        <v>92</v>
      </c>
      <c r="Q258" s="2">
        <v>0</v>
      </c>
    </row>
    <row r="259" spans="15:17" x14ac:dyDescent="0.25">
      <c r="O259" s="2">
        <v>35</v>
      </c>
      <c r="P259" s="2">
        <v>97.75</v>
      </c>
      <c r="Q259" s="2">
        <v>0</v>
      </c>
    </row>
    <row r="260" spans="15:17" x14ac:dyDescent="0.25">
      <c r="O260" s="2">
        <v>33</v>
      </c>
      <c r="P260" s="2">
        <v>92</v>
      </c>
      <c r="Q260" s="2">
        <v>0</v>
      </c>
    </row>
    <row r="261" spans="15:17" x14ac:dyDescent="0.25">
      <c r="O261" s="2">
        <v>31</v>
      </c>
      <c r="P261" s="2">
        <v>86.25</v>
      </c>
      <c r="Q261" s="2">
        <v>0</v>
      </c>
    </row>
    <row r="262" spans="15:17" x14ac:dyDescent="0.25">
      <c r="O262" s="2">
        <v>33</v>
      </c>
      <c r="P262" s="2">
        <v>92</v>
      </c>
      <c r="Q262" s="2">
        <v>0</v>
      </c>
    </row>
    <row r="263" spans="15:17" x14ac:dyDescent="0.25">
      <c r="O263" s="2">
        <v>32</v>
      </c>
      <c r="P263" s="2">
        <v>92</v>
      </c>
      <c r="Q263" s="2">
        <v>4</v>
      </c>
    </row>
    <row r="264" spans="15:17" x14ac:dyDescent="0.25">
      <c r="O264" s="2">
        <v>33</v>
      </c>
      <c r="P264" s="2">
        <v>92</v>
      </c>
      <c r="Q264" s="2">
        <v>0</v>
      </c>
    </row>
    <row r="265" spans="15:17" x14ac:dyDescent="0.25">
      <c r="O265" s="2">
        <v>34</v>
      </c>
      <c r="P265" s="2">
        <v>97.75</v>
      </c>
      <c r="Q265" s="2">
        <v>3.225806451612903</v>
      </c>
    </row>
    <row r="266" spans="15:17" x14ac:dyDescent="0.25">
      <c r="O266" s="2">
        <v>34</v>
      </c>
      <c r="P266" s="2">
        <v>97.75</v>
      </c>
      <c r="Q266" s="2">
        <v>3.225806451612903</v>
      </c>
    </row>
    <row r="267" spans="15:17" x14ac:dyDescent="0.25">
      <c r="O267" s="2">
        <v>32</v>
      </c>
      <c r="P267" s="2">
        <v>92</v>
      </c>
      <c r="Q267" s="2">
        <v>4</v>
      </c>
    </row>
    <row r="268" spans="15:17" x14ac:dyDescent="0.25">
      <c r="O268" s="2">
        <v>34</v>
      </c>
      <c r="P268" s="2">
        <v>97.75</v>
      </c>
      <c r="Q268" s="2">
        <v>3.225806451612903</v>
      </c>
    </row>
    <row r="269" spans="15:17" x14ac:dyDescent="0.25">
      <c r="O269" s="2">
        <v>36</v>
      </c>
      <c r="P269" s="2">
        <v>103.5</v>
      </c>
      <c r="Q269" s="2">
        <v>2.3076923076923075</v>
      </c>
    </row>
    <row r="270" spans="15:17" x14ac:dyDescent="0.25">
      <c r="O270" s="2">
        <v>34</v>
      </c>
      <c r="P270" s="2">
        <v>97.75</v>
      </c>
      <c r="Q270" s="2">
        <v>3.225806451612903</v>
      </c>
    </row>
    <row r="271" spans="15:17" x14ac:dyDescent="0.25">
      <c r="O271" s="2">
        <v>33</v>
      </c>
      <c r="P271" s="2">
        <v>92</v>
      </c>
      <c r="Q271" s="2">
        <v>0</v>
      </c>
    </row>
    <row r="272" spans="15:17" x14ac:dyDescent="0.25">
      <c r="O272" s="2">
        <v>34</v>
      </c>
      <c r="P272" s="2">
        <v>97.75</v>
      </c>
      <c r="Q272" s="2">
        <v>3.225806451612903</v>
      </c>
    </row>
    <row r="273" spans="15:17" x14ac:dyDescent="0.25">
      <c r="O273" s="2">
        <v>35</v>
      </c>
      <c r="P273" s="2">
        <v>97.75</v>
      </c>
      <c r="Q273" s="2">
        <v>0</v>
      </c>
    </row>
    <row r="274" spans="15:17" x14ac:dyDescent="0.25">
      <c r="O274" s="2">
        <v>35</v>
      </c>
      <c r="P274" s="2">
        <v>97.75</v>
      </c>
      <c r="Q274" s="2">
        <v>0</v>
      </c>
    </row>
    <row r="275" spans="15:17" x14ac:dyDescent="0.25">
      <c r="O275" s="2">
        <v>37</v>
      </c>
      <c r="P275" s="2">
        <v>103.5</v>
      </c>
      <c r="Q275" s="2">
        <v>0</v>
      </c>
    </row>
    <row r="276" spans="15:17" x14ac:dyDescent="0.25">
      <c r="O276" s="2">
        <v>35</v>
      </c>
      <c r="P276" s="2">
        <v>97.75</v>
      </c>
      <c r="Q276" s="2">
        <v>0</v>
      </c>
    </row>
    <row r="277" spans="15:17" x14ac:dyDescent="0.25">
      <c r="O277" s="2">
        <v>33</v>
      </c>
      <c r="P277" s="2">
        <v>92</v>
      </c>
      <c r="Q277" s="2">
        <v>0</v>
      </c>
    </row>
    <row r="278" spans="15:17" x14ac:dyDescent="0.25">
      <c r="O278" s="2">
        <v>35</v>
      </c>
      <c r="P278" s="2">
        <v>97.75</v>
      </c>
      <c r="Q278" s="2">
        <v>0</v>
      </c>
    </row>
    <row r="279" spans="15:17" x14ac:dyDescent="0.25">
      <c r="O279" s="2">
        <v>34</v>
      </c>
      <c r="P279" s="2">
        <v>97.75</v>
      </c>
      <c r="Q279" s="2">
        <v>3.225806451612903</v>
      </c>
    </row>
    <row r="280" spans="15:17" x14ac:dyDescent="0.25">
      <c r="O280" s="2">
        <v>35</v>
      </c>
      <c r="P280" s="2">
        <v>97.75</v>
      </c>
      <c r="Q280" s="2">
        <v>0</v>
      </c>
    </row>
    <row r="281" spans="15:17" x14ac:dyDescent="0.25">
      <c r="O281" s="2">
        <v>36</v>
      </c>
      <c r="P281" s="2">
        <v>103.5</v>
      </c>
      <c r="Q281" s="2">
        <v>2.3076923076923075</v>
      </c>
    </row>
    <row r="282" spans="15:17" x14ac:dyDescent="0.25">
      <c r="O282" s="2">
        <v>36</v>
      </c>
      <c r="P282" s="2">
        <v>103.5</v>
      </c>
      <c r="Q282" s="2">
        <v>2.3076923076923075</v>
      </c>
    </row>
    <row r="283" spans="15:17" x14ac:dyDescent="0.25">
      <c r="O283" s="2">
        <v>34</v>
      </c>
      <c r="P283" s="2">
        <v>97.75</v>
      </c>
      <c r="Q283" s="2">
        <v>3.225806451612903</v>
      </c>
    </row>
    <row r="284" spans="15:17" x14ac:dyDescent="0.25">
      <c r="O284" s="2">
        <v>36</v>
      </c>
      <c r="P284" s="2">
        <v>103.5</v>
      </c>
      <c r="Q284" s="2">
        <v>2.3076923076923075</v>
      </c>
    </row>
    <row r="285" spans="15:17" x14ac:dyDescent="0.25">
      <c r="O285" s="2">
        <v>38</v>
      </c>
      <c r="P285" s="2">
        <v>109.25</v>
      </c>
      <c r="Q285" s="2">
        <v>1.3333333333333333</v>
      </c>
    </row>
    <row r="286" spans="15:17" x14ac:dyDescent="0.25">
      <c r="O286" s="2">
        <v>36</v>
      </c>
      <c r="P286" s="2">
        <v>103.5</v>
      </c>
      <c r="Q286" s="2">
        <v>2.3076923076923075</v>
      </c>
    </row>
    <row r="287" spans="15:17" x14ac:dyDescent="0.25">
      <c r="O287" s="2">
        <v>35</v>
      </c>
      <c r="P287" s="2">
        <v>97.75</v>
      </c>
      <c r="Q287" s="2">
        <v>0</v>
      </c>
    </row>
    <row r="288" spans="15:17" x14ac:dyDescent="0.25">
      <c r="O288" s="2">
        <v>36</v>
      </c>
      <c r="P288" s="2">
        <v>103.5</v>
      </c>
      <c r="Q288" s="2">
        <v>2.3076923076923075</v>
      </c>
    </row>
    <row r="289" spans="15:17" x14ac:dyDescent="0.25">
      <c r="O289" s="2">
        <v>37</v>
      </c>
      <c r="P289" s="2">
        <v>103.5</v>
      </c>
      <c r="Q289" s="2">
        <v>0</v>
      </c>
    </row>
    <row r="290" spans="15:17" x14ac:dyDescent="0.25">
      <c r="O290" s="2">
        <v>37</v>
      </c>
      <c r="P290" s="2">
        <v>103.5</v>
      </c>
      <c r="Q290" s="2">
        <v>0</v>
      </c>
    </row>
    <row r="291" spans="15:17" x14ac:dyDescent="0.25">
      <c r="O291" s="2">
        <v>39</v>
      </c>
      <c r="P291" s="2">
        <v>109.25</v>
      </c>
      <c r="Q291" s="2">
        <v>0</v>
      </c>
    </row>
    <row r="292" spans="15:17" x14ac:dyDescent="0.25">
      <c r="O292" s="2">
        <v>37</v>
      </c>
      <c r="P292" s="2">
        <v>103.5</v>
      </c>
      <c r="Q292" s="2">
        <v>0</v>
      </c>
    </row>
    <row r="293" spans="15:17" x14ac:dyDescent="0.25">
      <c r="O293" s="2">
        <v>35</v>
      </c>
      <c r="P293" s="2">
        <v>97.75</v>
      </c>
      <c r="Q293" s="2">
        <v>0</v>
      </c>
    </row>
    <row r="294" spans="15:17" x14ac:dyDescent="0.25">
      <c r="O294" s="2">
        <v>37</v>
      </c>
      <c r="P294" s="2">
        <v>103.5</v>
      </c>
      <c r="Q294" s="2">
        <v>0</v>
      </c>
    </row>
    <row r="295" spans="15:17" x14ac:dyDescent="0.25">
      <c r="O295" s="2">
        <v>36</v>
      </c>
      <c r="P295" s="2">
        <v>103.5</v>
      </c>
      <c r="Q295" s="2">
        <v>2.3076923076923075</v>
      </c>
    </row>
    <row r="296" spans="15:17" x14ac:dyDescent="0.25">
      <c r="O296" s="2">
        <v>37</v>
      </c>
      <c r="P296" s="2">
        <v>103.5</v>
      </c>
      <c r="Q296" s="2">
        <v>0</v>
      </c>
    </row>
    <row r="297" spans="15:17" x14ac:dyDescent="0.25">
      <c r="O297" s="2">
        <v>38</v>
      </c>
      <c r="P297" s="2">
        <v>109.25</v>
      </c>
      <c r="Q297" s="2">
        <v>1.3333333333333333</v>
      </c>
    </row>
    <row r="298" spans="15:17" x14ac:dyDescent="0.25">
      <c r="O298" s="2">
        <v>38</v>
      </c>
      <c r="P298" s="2">
        <v>109.25</v>
      </c>
      <c r="Q298" s="2">
        <v>1.3333333333333333</v>
      </c>
    </row>
    <row r="299" spans="15:17" x14ac:dyDescent="0.25">
      <c r="O299" s="2">
        <v>36</v>
      </c>
      <c r="P299" s="2">
        <v>103.5</v>
      </c>
      <c r="Q299" s="2">
        <v>2.3076923076923075</v>
      </c>
    </row>
    <row r="300" spans="15:17" x14ac:dyDescent="0.25">
      <c r="O300" s="2">
        <v>38</v>
      </c>
      <c r="P300" s="2">
        <v>109.25</v>
      </c>
      <c r="Q300" s="2">
        <v>1.3333333333333333</v>
      </c>
    </row>
    <row r="301" spans="15:17" x14ac:dyDescent="0.25">
      <c r="O301" s="2">
        <v>40</v>
      </c>
      <c r="P301" s="2">
        <v>115</v>
      </c>
      <c r="Q301" s="2">
        <v>0</v>
      </c>
    </row>
    <row r="302" spans="15:17" x14ac:dyDescent="0.25">
      <c r="O302" s="2">
        <v>38</v>
      </c>
      <c r="P302" s="2">
        <v>109.25</v>
      </c>
      <c r="Q302" s="2">
        <v>1.3333333333333333</v>
      </c>
    </row>
    <row r="303" spans="15:17" x14ac:dyDescent="0.25">
      <c r="O303" s="2">
        <v>37</v>
      </c>
      <c r="P303" s="2">
        <v>103.5</v>
      </c>
      <c r="Q303" s="2">
        <v>0</v>
      </c>
    </row>
    <row r="304" spans="15:17" x14ac:dyDescent="0.25">
      <c r="O304" s="2">
        <v>38</v>
      </c>
      <c r="P304" s="2">
        <v>109.25</v>
      </c>
      <c r="Q304" s="2">
        <v>1.3333333333333333</v>
      </c>
    </row>
    <row r="305" spans="15:17" x14ac:dyDescent="0.25">
      <c r="O305" s="2">
        <v>39</v>
      </c>
      <c r="P305" s="2">
        <v>109.25</v>
      </c>
      <c r="Q305" s="2">
        <v>0</v>
      </c>
    </row>
    <row r="306" spans="15:17" x14ac:dyDescent="0.25">
      <c r="O306" s="2">
        <v>39</v>
      </c>
      <c r="P306" s="2">
        <v>109.25</v>
      </c>
      <c r="Q306" s="2">
        <v>0</v>
      </c>
    </row>
    <row r="307" spans="15:17" x14ac:dyDescent="0.25">
      <c r="O307" s="2">
        <v>40</v>
      </c>
      <c r="P307" s="2">
        <v>115</v>
      </c>
      <c r="Q307" s="2">
        <v>0</v>
      </c>
    </row>
    <row r="308" spans="15:17" x14ac:dyDescent="0.25">
      <c r="O308" s="2">
        <v>39</v>
      </c>
      <c r="P308" s="2">
        <v>109.25</v>
      </c>
      <c r="Q308" s="2">
        <v>0</v>
      </c>
    </row>
    <row r="309" spans="15:17" x14ac:dyDescent="0.25">
      <c r="O309" s="2">
        <v>37</v>
      </c>
      <c r="P309" s="2">
        <v>103.5</v>
      </c>
      <c r="Q309" s="2">
        <v>0</v>
      </c>
    </row>
    <row r="310" spans="15:17" x14ac:dyDescent="0.25">
      <c r="O310" s="2">
        <v>39</v>
      </c>
      <c r="P310" s="2">
        <v>109.25</v>
      </c>
      <c r="Q310" s="2">
        <v>0</v>
      </c>
    </row>
    <row r="311" spans="15:17" x14ac:dyDescent="0.25">
      <c r="O311" s="2">
        <v>38</v>
      </c>
      <c r="P311" s="2">
        <v>109.25</v>
      </c>
      <c r="Q311" s="2">
        <v>1.3333333333333333</v>
      </c>
    </row>
    <row r="312" spans="15:17" x14ac:dyDescent="0.25">
      <c r="O312" s="2">
        <v>40</v>
      </c>
      <c r="P312" s="2">
        <v>115</v>
      </c>
      <c r="Q312" s="2">
        <v>0</v>
      </c>
    </row>
    <row r="313" spans="15:17" x14ac:dyDescent="0.25">
      <c r="O313" s="2">
        <v>38</v>
      </c>
      <c r="P313" s="2">
        <v>109.25</v>
      </c>
      <c r="Q313" s="2">
        <v>1.3333333333333333</v>
      </c>
    </row>
    <row r="314" spans="15:17" x14ac:dyDescent="0.25">
      <c r="O314" s="2">
        <v>40</v>
      </c>
      <c r="P314" s="2">
        <v>115</v>
      </c>
      <c r="Q314" s="2">
        <v>0</v>
      </c>
    </row>
    <row r="315" spans="15:17" x14ac:dyDescent="0.25">
      <c r="O315" s="2">
        <v>39</v>
      </c>
      <c r="P315" s="2">
        <v>109.25</v>
      </c>
      <c r="Q31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Monash University Sunway Campus</dc:creator>
  <cp:lastModifiedBy>kweksc</cp:lastModifiedBy>
  <dcterms:created xsi:type="dcterms:W3CDTF">2016-08-15T04:38:03Z</dcterms:created>
  <dcterms:modified xsi:type="dcterms:W3CDTF">2016-08-17T10:20:11Z</dcterms:modified>
</cp:coreProperties>
</file>